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2" r:id="rId4"/>
    <sheet state="visible" name="Sheet2" sheetId="3" r:id="rId5"/>
  </sheets>
  <definedNames>
    <definedName name="english">Sheet1!$N$30</definedName>
  </definedNames>
  <calcPr/>
  <extLst>
    <ext uri="GoogleSheetsCustomDataVersion2">
      <go:sheetsCustomData xmlns:go="http://customooxmlschemas.google.com/" r:id="rId6" roundtripDataChecksum="prHvIMkPlXseuUf1sa++2hErdY0G9HKm0cJTuVhrrHI="/>
    </ext>
  </extLst>
</workbook>
</file>

<file path=xl/sharedStrings.xml><?xml version="1.0" encoding="utf-8"?>
<sst xmlns="http://schemas.openxmlformats.org/spreadsheetml/2006/main" count="285" uniqueCount="103">
  <si>
    <t>TAGORE ACADEMY PUBLIC SCHOOL</t>
  </si>
  <si>
    <t>NESTED DOUBLE VLOOKUP</t>
  </si>
  <si>
    <t>Gopi</t>
  </si>
  <si>
    <t xml:space="preserve">NAME </t>
  </si>
  <si>
    <t>GENDER</t>
  </si>
  <si>
    <t>AGE</t>
  </si>
  <si>
    <t>CLASS</t>
  </si>
  <si>
    <t>HOUSE</t>
  </si>
  <si>
    <t>UNIT TEST 1</t>
  </si>
  <si>
    <t>SUBJECT CODE</t>
  </si>
  <si>
    <t>MOBILE</t>
  </si>
  <si>
    <t>SUBJECT NAME</t>
  </si>
  <si>
    <t>English</t>
  </si>
  <si>
    <t>maths</t>
  </si>
  <si>
    <t>hindi</t>
  </si>
  <si>
    <t>sanskrit</t>
  </si>
  <si>
    <t>french</t>
  </si>
  <si>
    <t>Abhimanyu</t>
  </si>
  <si>
    <t>M</t>
  </si>
  <si>
    <t>Bhoomi</t>
  </si>
  <si>
    <t>APPLE</t>
  </si>
  <si>
    <t>Arjun</t>
  </si>
  <si>
    <t>Vayu</t>
  </si>
  <si>
    <t>SAMSUNG</t>
  </si>
  <si>
    <t>Champa</t>
  </si>
  <si>
    <t>F</t>
  </si>
  <si>
    <t>Jal</t>
  </si>
  <si>
    <t>Gopal</t>
  </si>
  <si>
    <t>REDMI</t>
  </si>
  <si>
    <t>arjun</t>
  </si>
  <si>
    <t xml:space="preserve"> </t>
  </si>
  <si>
    <t>Agni</t>
  </si>
  <si>
    <t>gender</t>
  </si>
  <si>
    <t>Hari</t>
  </si>
  <si>
    <t>Bho    omi</t>
  </si>
  <si>
    <t>B</t>
  </si>
  <si>
    <t>Indu</t>
  </si>
  <si>
    <t>A</t>
  </si>
  <si>
    <t>Keshav</t>
  </si>
  <si>
    <t>indu</t>
  </si>
  <si>
    <t>Lalita</t>
  </si>
  <si>
    <t>mobile</t>
  </si>
  <si>
    <t>madhav</t>
  </si>
  <si>
    <t xml:space="preserve">Jal  </t>
  </si>
  <si>
    <t>RNM</t>
  </si>
  <si>
    <t>Sudevi</t>
  </si>
  <si>
    <t>Visakha</t>
  </si>
  <si>
    <t>Vrinda</t>
  </si>
  <si>
    <t>#N/A</t>
  </si>
  <si>
    <t>SALES</t>
  </si>
  <si>
    <t>P1</t>
  </si>
  <si>
    <t>P2</t>
  </si>
  <si>
    <t>P3</t>
  </si>
  <si>
    <t xml:space="preserve">class </t>
  </si>
  <si>
    <t>subject code</t>
  </si>
  <si>
    <t>unit test 1</t>
  </si>
  <si>
    <t>JAN</t>
  </si>
  <si>
    <t>gopal</t>
  </si>
  <si>
    <t>FEB</t>
  </si>
  <si>
    <t>gopi</t>
  </si>
  <si>
    <t>MAR</t>
  </si>
  <si>
    <t>APR</t>
  </si>
  <si>
    <t>student details</t>
  </si>
  <si>
    <t>departmentand hod's</t>
  </si>
  <si>
    <t>department details</t>
  </si>
  <si>
    <t>subjects</t>
  </si>
  <si>
    <t>name</t>
  </si>
  <si>
    <t>departmentid</t>
  </si>
  <si>
    <t>class teacher</t>
  </si>
  <si>
    <t>department id</t>
  </si>
  <si>
    <t>hod</t>
  </si>
  <si>
    <t xml:space="preserve">department </t>
  </si>
  <si>
    <t>subject</t>
  </si>
  <si>
    <t>credit</t>
  </si>
  <si>
    <t>duration</t>
  </si>
  <si>
    <t>kaif</t>
  </si>
  <si>
    <t>d1</t>
  </si>
  <si>
    <t>mr.dhiraj</t>
  </si>
  <si>
    <t>mr.pawan</t>
  </si>
  <si>
    <t>english .d</t>
  </si>
  <si>
    <t>english</t>
  </si>
  <si>
    <t>NESTED DOUBLE HLOOKUP</t>
  </si>
  <si>
    <t>danish</t>
  </si>
  <si>
    <t>d2</t>
  </si>
  <si>
    <t>mr.gaurav</t>
  </si>
  <si>
    <t>mr.sujit</t>
  </si>
  <si>
    <t>hindi.d</t>
  </si>
  <si>
    <t>sariq</t>
  </si>
  <si>
    <t>d3</t>
  </si>
  <si>
    <t>mr.adarsh</t>
  </si>
  <si>
    <t>math.d</t>
  </si>
  <si>
    <t>math</t>
  </si>
  <si>
    <t>1.answer</t>
  </si>
  <si>
    <t>2.answer</t>
  </si>
  <si>
    <t>3.answer</t>
  </si>
  <si>
    <t>4 answer</t>
  </si>
  <si>
    <t>hindi .d</t>
  </si>
  <si>
    <t>math .d</t>
  </si>
  <si>
    <t>VLOOKUP FORMULA</t>
  </si>
  <si>
    <t>4.answer</t>
  </si>
  <si>
    <t>hlookup formula</t>
  </si>
  <si>
    <t>1 answer</t>
  </si>
  <si>
    <t>2 answer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</si>
</sst>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2.0"/>
      <color theme="1"/>
      <name val="Calibri"/>
      <scheme val="minor"/>
    </font>
    <font>
      <sz val="12.0"/>
      <color theme="1"/>
      <name val="Calibri"/>
    </font>
    <font/>
    <font>
      <sz val="12.0"/>
      <color rgb="FF000000"/>
      <name val="Calibri"/>
    </font>
    <font>
      <b/>
      <i/>
      <sz val="12.0"/>
      <color theme="1"/>
      <name val="Calibri"/>
    </font>
    <font>
      <sz val="12.0"/>
      <color rgb="FFFFFFFF"/>
      <name val="Calibri"/>
    </font>
    <font>
      <color theme="1"/>
      <name val="Calibri"/>
      <scheme val="minor"/>
    </font>
    <font>
      <b/>
      <sz val="12.0"/>
      <color theme="1"/>
      <name val="Calibri"/>
    </font>
    <font>
      <sz val="20.0"/>
      <color theme="1"/>
      <name val="Calibri"/>
    </font>
    <font>
      <sz val="24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theme="7"/>
        <bgColor theme="7"/>
      </patternFill>
    </fill>
    <fill>
      <patternFill patternType="solid">
        <fgColor rgb="FFFFFF00"/>
        <bgColor rgb="FFFFFF00"/>
      </patternFill>
    </fill>
    <fill>
      <patternFill patternType="solid">
        <fgColor rgb="FFF4B083"/>
        <bgColor rgb="FFF4B083"/>
      </patternFill>
    </fill>
  </fills>
  <borders count="54">
    <border/>
    <border>
      <left/>
      <top/>
    </border>
    <border>
      <top/>
    </border>
    <border>
      <right/>
      <top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bottom/>
    </border>
    <border>
      <bottom/>
    </border>
    <border>
      <right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bottom/>
    </border>
    <border>
      <right style="thin">
        <color rgb="FF000000"/>
      </right>
      <bottom/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</border>
    <border>
      <right/>
      <top style="thin">
        <color rgb="FF000000"/>
      </top>
      <bottom style="thin">
        <color rgb="FF000000"/>
      </bottom>
    </border>
    <border>
      <right style="medium">
        <color rgb="FF000000"/>
      </right>
    </border>
    <border>
      <left style="medium">
        <color rgb="FF000000"/>
      </left>
    </border>
    <border>
      <left/>
    </border>
    <border>
      <right/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left/>
      <bottom style="medium">
        <color rgb="FF000000"/>
      </bottom>
    </border>
    <border>
      <right/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  <top/>
    </border>
    <border>
      <left/>
      <bottom style="thin">
        <color rgb="FF000000"/>
      </bottom>
    </border>
  </borders>
  <cellStyleXfs count="1">
    <xf borderId="0" fillId="0" fontId="0" numFmtId="0" applyAlignment="1" applyFont="1"/>
  </cellStyleXfs>
  <cellXfs count="7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/>
    </xf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0" fontId="1" numFmtId="0" xfId="0" applyBorder="1" applyFont="1"/>
    <xf borderId="10" fillId="3" fontId="4" numFmtId="0" xfId="0" applyBorder="1" applyFont="1"/>
    <xf borderId="11" fillId="3" fontId="4" numFmtId="0" xfId="0" applyBorder="1" applyFont="1"/>
    <xf borderId="10" fillId="3" fontId="1" numFmtId="0" xfId="0" applyAlignment="1" applyBorder="1" applyFont="1">
      <alignment horizontal="center"/>
    </xf>
    <xf borderId="12" fillId="3" fontId="1" numFmtId="0" xfId="0" applyAlignment="1" applyBorder="1" applyFont="1">
      <alignment horizontal="center"/>
    </xf>
    <xf borderId="10" fillId="0" fontId="1" numFmtId="0" xfId="0" applyAlignment="1" applyBorder="1" applyFont="1">
      <alignment horizontal="center"/>
    </xf>
    <xf borderId="10" fillId="3" fontId="1" numFmtId="0" xfId="0" applyBorder="1" applyFont="1"/>
    <xf borderId="0" fillId="0" fontId="1" numFmtId="0" xfId="0" applyAlignment="1" applyFont="1">
      <alignment horizontal="center"/>
    </xf>
    <xf borderId="10" fillId="3" fontId="1" numFmtId="0" xfId="0" applyAlignment="1" applyBorder="1" applyFont="1">
      <alignment horizontal="left"/>
    </xf>
    <xf borderId="0" fillId="0" fontId="1" numFmtId="0" xfId="0" applyFont="1"/>
    <xf borderId="0" fillId="0" fontId="5" numFmtId="0" xfId="0" applyFont="1"/>
    <xf borderId="13" fillId="3" fontId="1" numFmtId="0" xfId="0" applyBorder="1" applyFont="1"/>
    <xf borderId="14" fillId="3" fontId="1" numFmtId="0" xfId="0" applyBorder="1" applyFont="1"/>
    <xf borderId="15" fillId="3" fontId="1" numFmtId="0" xfId="0" applyBorder="1" applyFont="1"/>
    <xf borderId="12" fillId="3" fontId="1" numFmtId="0" xfId="0" applyBorder="1" applyFont="1"/>
    <xf borderId="0" fillId="0" fontId="6" numFmtId="0" xfId="0" applyFont="1"/>
    <xf borderId="16" fillId="3" fontId="1" numFmtId="0" xfId="0" applyBorder="1" applyFont="1"/>
    <xf borderId="17" fillId="0" fontId="1" numFmtId="0" xfId="0" applyBorder="1" applyFont="1"/>
    <xf borderId="18" fillId="0" fontId="1" numFmtId="0" xfId="0" applyBorder="1" applyFont="1"/>
    <xf borderId="19" fillId="3" fontId="1" numFmtId="0" xfId="0" applyBorder="1" applyFont="1"/>
    <xf borderId="6" fillId="0" fontId="1" numFmtId="0" xfId="0" applyBorder="1" applyFont="1"/>
    <xf borderId="20" fillId="3" fontId="1" numFmtId="0" xfId="0" applyBorder="1" applyFont="1"/>
    <xf borderId="21" fillId="0" fontId="1" numFmtId="0" xfId="0" applyBorder="1" applyFont="1"/>
    <xf borderId="22" fillId="0" fontId="1" numFmtId="0" xfId="0" applyBorder="1" applyFont="1"/>
    <xf borderId="23" fillId="0" fontId="1" numFmtId="0" xfId="0" applyBorder="1" applyFont="1"/>
    <xf borderId="24" fillId="0" fontId="1" numFmtId="0" xfId="0" applyBorder="1" applyFont="1"/>
    <xf borderId="25" fillId="4" fontId="1" numFmtId="0" xfId="0" applyAlignment="1" applyBorder="1" applyFill="1" applyFont="1">
      <alignment horizontal="center" vertical="center"/>
    </xf>
    <xf borderId="26" fillId="0" fontId="2" numFmtId="0" xfId="0" applyBorder="1" applyFont="1"/>
    <xf borderId="27" fillId="0" fontId="2" numFmtId="0" xfId="0" applyBorder="1" applyFont="1"/>
    <xf borderId="28" fillId="4" fontId="7" numFmtId="0" xfId="0" applyAlignment="1" applyBorder="1" applyFont="1">
      <alignment horizontal="center" vertical="center"/>
    </xf>
    <xf borderId="0" fillId="0" fontId="7" numFmtId="0" xfId="0" applyAlignment="1" applyFont="1">
      <alignment horizontal="center" vertical="center"/>
    </xf>
    <xf borderId="29" fillId="0" fontId="2" numFmtId="0" xfId="0" applyBorder="1" applyFont="1"/>
    <xf borderId="11" fillId="3" fontId="1" numFmtId="0" xfId="0" applyAlignment="1" applyBorder="1" applyFont="1">
      <alignment horizontal="left"/>
    </xf>
    <xf borderId="30" fillId="0" fontId="2" numFmtId="0" xfId="0" applyBorder="1" applyFont="1"/>
    <xf borderId="31" fillId="0" fontId="2" numFmtId="0" xfId="0" applyBorder="1" applyFont="1"/>
    <xf borderId="17" fillId="0" fontId="2" numFmtId="0" xfId="0" applyBorder="1" applyFont="1"/>
    <xf borderId="31" fillId="0" fontId="1" numFmtId="0" xfId="0" applyBorder="1" applyFont="1"/>
    <xf borderId="32" fillId="0" fontId="2" numFmtId="0" xfId="0" applyBorder="1" applyFont="1"/>
    <xf borderId="33" fillId="0" fontId="2" numFmtId="0" xfId="0" applyBorder="1" applyFont="1"/>
    <xf borderId="34" fillId="0" fontId="2" numFmtId="0" xfId="0" applyBorder="1" applyFont="1"/>
    <xf borderId="35" fillId="0" fontId="2" numFmtId="0" xfId="0" applyBorder="1" applyFont="1"/>
    <xf borderId="36" fillId="0" fontId="1" numFmtId="0" xfId="0" applyBorder="1" applyFont="1"/>
    <xf borderId="37" fillId="0" fontId="1" numFmtId="0" xfId="0" applyBorder="1" applyFont="1"/>
    <xf borderId="38" fillId="0" fontId="1" numFmtId="0" xfId="0" applyAlignment="1" applyBorder="1" applyFont="1">
      <alignment horizontal="center"/>
    </xf>
    <xf borderId="39" fillId="0" fontId="1" numFmtId="0" xfId="0" applyAlignment="1" applyBorder="1" applyFont="1">
      <alignment horizontal="center"/>
    </xf>
    <xf borderId="40" fillId="0" fontId="2" numFmtId="0" xfId="0" applyBorder="1" applyFont="1"/>
    <xf borderId="4" fillId="0" fontId="1" numFmtId="0" xfId="0" applyBorder="1" applyFont="1"/>
    <xf borderId="41" fillId="0" fontId="1" numFmtId="0" xfId="0" applyAlignment="1" applyBorder="1" applyFont="1">
      <alignment horizontal="center"/>
    </xf>
    <xf borderId="42" fillId="0" fontId="1" numFmtId="0" xfId="0" applyBorder="1" applyFont="1"/>
    <xf borderId="41" fillId="0" fontId="1" numFmtId="0" xfId="0" applyBorder="1" applyFont="1"/>
    <xf borderId="42" fillId="0" fontId="1" numFmtId="0" xfId="0" applyAlignment="1" applyBorder="1" applyFont="1">
      <alignment horizontal="center"/>
    </xf>
    <xf borderId="1" fillId="3" fontId="8" numFmtId="0" xfId="0" applyAlignment="1" applyBorder="1" applyFont="1">
      <alignment horizontal="center"/>
    </xf>
    <xf borderId="43" fillId="0" fontId="2" numFmtId="0" xfId="0" applyBorder="1" applyFont="1"/>
    <xf borderId="44" fillId="0" fontId="2" numFmtId="0" xfId="0" applyBorder="1" applyFont="1"/>
    <xf borderId="45" fillId="0" fontId="1" numFmtId="0" xfId="0" applyBorder="1" applyFont="1"/>
    <xf borderId="46" fillId="0" fontId="1" numFmtId="0" xfId="0" applyBorder="1" applyFont="1"/>
    <xf borderId="47" fillId="0" fontId="2" numFmtId="0" xfId="0" applyBorder="1" applyFont="1"/>
    <xf borderId="46" fillId="0" fontId="2" numFmtId="0" xfId="0" applyBorder="1" applyFont="1"/>
    <xf borderId="48" fillId="0" fontId="2" numFmtId="0" xfId="0" applyBorder="1" applyFont="1"/>
    <xf borderId="49" fillId="0" fontId="1" numFmtId="0" xfId="0" applyBorder="1" applyFont="1"/>
    <xf borderId="42" fillId="0" fontId="2" numFmtId="0" xfId="0" applyBorder="1" applyFont="1"/>
    <xf borderId="50" fillId="0" fontId="2" numFmtId="0" xfId="0" applyBorder="1" applyFont="1"/>
    <xf borderId="51" fillId="0" fontId="2" numFmtId="0" xfId="0" applyBorder="1" applyFont="1"/>
    <xf borderId="41" fillId="0" fontId="2" numFmtId="0" xfId="0" applyBorder="1" applyFont="1"/>
    <xf borderId="1" fillId="3" fontId="9" numFmtId="0" xfId="0" applyAlignment="1" applyBorder="1" applyFont="1">
      <alignment horizontal="center"/>
    </xf>
    <xf borderId="1" fillId="4" fontId="7" numFmtId="0" xfId="0" applyAlignment="1" applyBorder="1" applyFont="1">
      <alignment horizontal="center" vertical="center"/>
    </xf>
    <xf borderId="52" fillId="0" fontId="2" numFmtId="0" xfId="0" applyBorder="1" applyFont="1"/>
    <xf borderId="53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4.78"/>
    <col customWidth="1" min="2" max="2" width="13.11"/>
    <col customWidth="1" min="5" max="5" width="12.78"/>
    <col customWidth="1" min="6" max="6" width="8.33"/>
    <col customWidth="1" min="7" max="7" width="13.11"/>
    <col customWidth="1" min="8" max="8" width="13.33"/>
    <col customWidth="1" min="9" max="9" width="13.11"/>
    <col customWidth="1" min="10" max="10" width="10.0"/>
    <col customWidth="1" min="11" max="11" width="13.11"/>
    <col customWidth="1" min="12" max="12" width="13.67"/>
    <col customWidth="1" min="13" max="13" width="15.22"/>
    <col customWidth="1" min="14" max="14" width="11.44"/>
    <col customWidth="1" min="15" max="15" width="13.67"/>
  </cols>
  <sheetData>
    <row r="1">
      <c r="A1" s="1" t="s">
        <v>0</v>
      </c>
      <c r="B1" s="2"/>
      <c r="C1" s="2"/>
      <c r="D1" s="2"/>
      <c r="E1" s="2"/>
      <c r="F1" s="2"/>
      <c r="G1" s="2"/>
      <c r="H1" s="3"/>
      <c r="I1" s="4" t="s">
        <v>1</v>
      </c>
      <c r="J1" s="5"/>
      <c r="K1" s="6"/>
    </row>
    <row r="2">
      <c r="A2" s="7"/>
      <c r="B2" s="8"/>
      <c r="C2" s="8"/>
      <c r="D2" s="8"/>
      <c r="E2" s="8"/>
      <c r="F2" s="8"/>
      <c r="G2" s="8"/>
      <c r="H2" s="9"/>
      <c r="I2" s="10" t="s">
        <v>2</v>
      </c>
      <c r="J2" s="10"/>
      <c r="K2" s="10" t="str">
        <f>VLOOKUP(VLOOKUP(I2,A4:G17,7,0),K3:L17,2,0)</f>
        <v>french</v>
      </c>
    </row>
    <row r="3">
      <c r="A3" s="11" t="s">
        <v>3</v>
      </c>
      <c r="B3" s="11" t="s">
        <v>4</v>
      </c>
      <c r="C3" s="11" t="s">
        <v>5</v>
      </c>
      <c r="D3" s="11" t="s">
        <v>6</v>
      </c>
      <c r="E3" s="11" t="s">
        <v>7</v>
      </c>
      <c r="F3" s="11" t="s">
        <v>8</v>
      </c>
      <c r="G3" s="12" t="s">
        <v>9</v>
      </c>
      <c r="H3" s="11" t="s">
        <v>10</v>
      </c>
      <c r="K3" s="13" t="s">
        <v>9</v>
      </c>
      <c r="L3" s="13" t="s">
        <v>11</v>
      </c>
      <c r="M3" s="14"/>
      <c r="O3" s="13" t="s">
        <v>11</v>
      </c>
      <c r="P3" s="15" t="s">
        <v>12</v>
      </c>
      <c r="Q3" s="15" t="s">
        <v>13</v>
      </c>
      <c r="R3" s="15" t="s">
        <v>14</v>
      </c>
      <c r="S3" s="15"/>
      <c r="T3" s="15" t="s">
        <v>15</v>
      </c>
      <c r="U3" s="15" t="s">
        <v>16</v>
      </c>
    </row>
    <row r="4">
      <c r="A4" s="10" t="s">
        <v>17</v>
      </c>
      <c r="B4" s="10" t="s">
        <v>18</v>
      </c>
      <c r="C4" s="10">
        <v>16.0</v>
      </c>
      <c r="D4" s="10">
        <v>10.0</v>
      </c>
      <c r="E4" s="10" t="s">
        <v>19</v>
      </c>
      <c r="F4" s="10">
        <v>84.0</v>
      </c>
      <c r="G4" s="10">
        <v>1.0</v>
      </c>
      <c r="H4" s="16" t="s">
        <v>20</v>
      </c>
      <c r="K4" s="15">
        <v>1.0</v>
      </c>
      <c r="L4" s="15" t="s">
        <v>12</v>
      </c>
      <c r="M4" s="17"/>
      <c r="O4" s="13" t="s">
        <v>9</v>
      </c>
      <c r="P4" s="10">
        <v>1.0</v>
      </c>
      <c r="Q4" s="10">
        <v>2.0</v>
      </c>
      <c r="R4" s="10">
        <v>3.0</v>
      </c>
      <c r="S4" s="10"/>
      <c r="T4" s="10">
        <v>4.0</v>
      </c>
      <c r="U4" s="10">
        <v>5.0</v>
      </c>
    </row>
    <row r="5">
      <c r="A5" s="10" t="s">
        <v>21</v>
      </c>
      <c r="B5" s="10" t="s">
        <v>18</v>
      </c>
      <c r="C5" s="10">
        <v>11.0</v>
      </c>
      <c r="D5" s="10">
        <v>5.0</v>
      </c>
      <c r="E5" s="10" t="s">
        <v>22</v>
      </c>
      <c r="F5" s="10">
        <v>82.0</v>
      </c>
      <c r="G5" s="10">
        <v>2.0</v>
      </c>
      <c r="H5" s="18" t="s">
        <v>23</v>
      </c>
      <c r="K5" s="15">
        <v>2.0</v>
      </c>
      <c r="L5" s="15" t="s">
        <v>13</v>
      </c>
      <c r="M5" s="17"/>
    </row>
    <row r="6">
      <c r="A6" s="10" t="s">
        <v>24</v>
      </c>
      <c r="B6" s="10" t="s">
        <v>25</v>
      </c>
      <c r="C6" s="10">
        <v>15.0</v>
      </c>
      <c r="D6" s="10">
        <v>8.0</v>
      </c>
      <c r="E6" s="10" t="s">
        <v>26</v>
      </c>
      <c r="F6" s="10">
        <v>81.0</v>
      </c>
      <c r="G6" s="10">
        <v>3.0</v>
      </c>
      <c r="H6" s="18" t="s">
        <v>23</v>
      </c>
      <c r="K6" s="15">
        <v>3.0</v>
      </c>
      <c r="L6" s="15" t="s">
        <v>14</v>
      </c>
      <c r="M6" s="17"/>
    </row>
    <row r="7">
      <c r="A7" s="10" t="s">
        <v>27</v>
      </c>
      <c r="B7" s="10" t="s">
        <v>18</v>
      </c>
      <c r="C7" s="10">
        <v>14.0</v>
      </c>
      <c r="D7" s="10">
        <v>8.0</v>
      </c>
      <c r="E7" s="10" t="s">
        <v>19</v>
      </c>
      <c r="F7" s="10">
        <v>70.0</v>
      </c>
      <c r="G7" s="10">
        <v>4.0</v>
      </c>
      <c r="H7" s="16" t="s">
        <v>28</v>
      </c>
      <c r="K7" s="15">
        <v>4.0</v>
      </c>
      <c r="L7" s="15" t="s">
        <v>15</v>
      </c>
      <c r="M7" s="17"/>
      <c r="N7" s="19" t="s">
        <v>29</v>
      </c>
      <c r="O7" s="19" t="s">
        <v>30</v>
      </c>
    </row>
    <row r="8">
      <c r="A8" s="10" t="s">
        <v>2</v>
      </c>
      <c r="B8" s="10" t="s">
        <v>25</v>
      </c>
      <c r="C8" s="10">
        <v>16.0</v>
      </c>
      <c r="D8" s="10">
        <v>10.0</v>
      </c>
      <c r="E8" s="10" t="s">
        <v>31</v>
      </c>
      <c r="F8" s="10">
        <v>88.0</v>
      </c>
      <c r="G8" s="10">
        <v>5.0</v>
      </c>
      <c r="H8" s="18" t="s">
        <v>23</v>
      </c>
      <c r="I8" s="20"/>
      <c r="J8" s="20"/>
      <c r="K8" s="15">
        <v>5.0</v>
      </c>
      <c r="L8" s="15" t="s">
        <v>16</v>
      </c>
      <c r="M8" s="17"/>
      <c r="N8" s="19" t="s">
        <v>32</v>
      </c>
      <c r="O8" s="19" t="str">
        <f>HLOOKUP(N8,A3:H17,3,0)</f>
        <v>M</v>
      </c>
    </row>
    <row r="9">
      <c r="A9" s="10" t="s">
        <v>33</v>
      </c>
      <c r="B9" s="10" t="s">
        <v>18</v>
      </c>
      <c r="C9" s="10">
        <v>16.0</v>
      </c>
      <c r="D9" s="10">
        <v>10.0</v>
      </c>
      <c r="E9" s="10" t="s">
        <v>34</v>
      </c>
      <c r="F9" s="10">
        <v>82.0</v>
      </c>
      <c r="G9" s="10">
        <v>6.0</v>
      </c>
      <c r="H9" s="16" t="s">
        <v>20</v>
      </c>
      <c r="K9" s="15">
        <v>6.0</v>
      </c>
      <c r="L9" s="15" t="s">
        <v>35</v>
      </c>
      <c r="M9" s="17"/>
    </row>
    <row r="10">
      <c r="A10" s="10" t="s">
        <v>36</v>
      </c>
      <c r="B10" s="10" t="s">
        <v>25</v>
      </c>
      <c r="C10" s="10">
        <v>14.0</v>
      </c>
      <c r="D10" s="10">
        <v>8.0</v>
      </c>
      <c r="E10" s="10" t="s">
        <v>22</v>
      </c>
      <c r="F10" s="10">
        <v>9.0</v>
      </c>
      <c r="G10" s="10">
        <v>7.0</v>
      </c>
      <c r="H10" s="18" t="s">
        <v>23</v>
      </c>
      <c r="K10" s="15">
        <v>7.0</v>
      </c>
      <c r="L10" s="15" t="s">
        <v>37</v>
      </c>
      <c r="M10" s="17"/>
    </row>
    <row r="11">
      <c r="A11" s="10" t="s">
        <v>38</v>
      </c>
      <c r="B11" s="10" t="s">
        <v>18</v>
      </c>
      <c r="C11" s="10">
        <v>15.0</v>
      </c>
      <c r="D11" s="10">
        <v>9.0</v>
      </c>
      <c r="E11" s="10" t="s">
        <v>31</v>
      </c>
      <c r="F11" s="10">
        <v>87.0</v>
      </c>
      <c r="G11" s="10">
        <v>8.0</v>
      </c>
      <c r="H11" s="16" t="s">
        <v>20</v>
      </c>
      <c r="K11" s="15">
        <v>8.0</v>
      </c>
      <c r="L11" s="15" t="s">
        <v>35</v>
      </c>
      <c r="M11" s="17"/>
      <c r="N11" s="19" t="s">
        <v>39</v>
      </c>
    </row>
    <row r="12">
      <c r="A12" s="10" t="s">
        <v>40</v>
      </c>
      <c r="B12" s="10" t="s">
        <v>25</v>
      </c>
      <c r="C12" s="10">
        <v>17.0</v>
      </c>
      <c r="D12" s="10">
        <v>10.0</v>
      </c>
      <c r="E12" s="10" t="s">
        <v>22</v>
      </c>
      <c r="F12" s="10">
        <v>70.0</v>
      </c>
      <c r="G12" s="10">
        <v>9.0</v>
      </c>
      <c r="H12" s="16" t="s">
        <v>28</v>
      </c>
      <c r="K12" s="15">
        <v>9.0</v>
      </c>
      <c r="L12" s="15" t="s">
        <v>37</v>
      </c>
      <c r="M12" s="17"/>
      <c r="N12" s="19" t="s">
        <v>41</v>
      </c>
      <c r="O12" s="19" t="str">
        <f>HLOOKUP(N12,A3:H17,4,0)</f>
        <v>SAMSUNG</v>
      </c>
    </row>
    <row r="13">
      <c r="A13" s="10" t="s">
        <v>42</v>
      </c>
      <c r="B13" s="10" t="s">
        <v>18</v>
      </c>
      <c r="C13" s="10">
        <v>12.0</v>
      </c>
      <c r="D13" s="10">
        <v>7.0</v>
      </c>
      <c r="E13" s="10" t="s">
        <v>43</v>
      </c>
      <c r="F13" s="10">
        <v>86.0</v>
      </c>
      <c r="G13" s="10">
        <v>10.0</v>
      </c>
      <c r="H13" s="18" t="s">
        <v>23</v>
      </c>
      <c r="K13" s="15">
        <v>10.0</v>
      </c>
      <c r="L13" s="15" t="s">
        <v>35</v>
      </c>
      <c r="M13" s="17"/>
    </row>
    <row r="14">
      <c r="A14" s="10" t="s">
        <v>44</v>
      </c>
      <c r="B14" s="10" t="s">
        <v>18</v>
      </c>
      <c r="C14" s="10">
        <v>16.0</v>
      </c>
      <c r="D14" s="10">
        <v>10.0</v>
      </c>
      <c r="E14" s="10" t="s">
        <v>31</v>
      </c>
      <c r="F14" s="10">
        <v>86.0</v>
      </c>
      <c r="G14" s="10">
        <v>11.0</v>
      </c>
      <c r="H14" s="16" t="s">
        <v>20</v>
      </c>
      <c r="K14" s="15">
        <v>11.0</v>
      </c>
      <c r="L14" s="15" t="s">
        <v>37</v>
      </c>
      <c r="M14" s="17"/>
    </row>
    <row r="15">
      <c r="A15" s="10" t="s">
        <v>45</v>
      </c>
      <c r="B15" s="10" t="s">
        <v>25</v>
      </c>
      <c r="C15" s="10">
        <v>16.0</v>
      </c>
      <c r="D15" s="10">
        <v>10.0</v>
      </c>
      <c r="E15" s="10" t="s">
        <v>26</v>
      </c>
      <c r="F15" s="10">
        <v>81.0</v>
      </c>
      <c r="G15" s="10">
        <v>12.0</v>
      </c>
      <c r="H15" s="16" t="s">
        <v>28</v>
      </c>
      <c r="K15" s="15">
        <v>12.0</v>
      </c>
      <c r="L15" s="15" t="s">
        <v>35</v>
      </c>
      <c r="M15" s="17"/>
    </row>
    <row r="16">
      <c r="A16" s="10" t="s">
        <v>46</v>
      </c>
      <c r="B16" s="10" t="s">
        <v>25</v>
      </c>
      <c r="C16" s="10">
        <v>16.0</v>
      </c>
      <c r="D16" s="10">
        <v>10.0</v>
      </c>
      <c r="E16" s="10" t="s">
        <v>19</v>
      </c>
      <c r="F16" s="10">
        <v>70.0</v>
      </c>
      <c r="G16" s="10">
        <v>13.0</v>
      </c>
      <c r="H16" s="16" t="s">
        <v>20</v>
      </c>
      <c r="K16" s="15">
        <v>13.0</v>
      </c>
      <c r="L16" s="15" t="s">
        <v>37</v>
      </c>
      <c r="M16" s="17"/>
    </row>
    <row r="17">
      <c r="A17" s="10" t="s">
        <v>47</v>
      </c>
      <c r="B17" s="10" t="s">
        <v>25</v>
      </c>
      <c r="C17" s="10">
        <v>14.0</v>
      </c>
      <c r="D17" s="10">
        <v>8.0</v>
      </c>
      <c r="E17" s="10" t="s">
        <v>31</v>
      </c>
      <c r="F17" s="10">
        <v>91.0</v>
      </c>
      <c r="G17" s="10">
        <v>14.0</v>
      </c>
      <c r="H17" s="16" t="s">
        <v>28</v>
      </c>
      <c r="K17" s="15">
        <v>14.0</v>
      </c>
      <c r="L17" s="15" t="s">
        <v>35</v>
      </c>
      <c r="M17" s="17"/>
    </row>
    <row r="18">
      <c r="D18" s="19" t="s">
        <v>3</v>
      </c>
      <c r="F18" s="19" t="s">
        <v>48</v>
      </c>
    </row>
    <row r="20">
      <c r="A20" s="21" t="s">
        <v>49</v>
      </c>
      <c r="B20" s="22" t="s">
        <v>50</v>
      </c>
      <c r="C20" s="22" t="s">
        <v>51</v>
      </c>
      <c r="D20" s="23" t="s">
        <v>52</v>
      </c>
      <c r="G20" s="24" t="s">
        <v>53</v>
      </c>
      <c r="H20" s="24" t="s">
        <v>54</v>
      </c>
      <c r="I20" s="24" t="s">
        <v>55</v>
      </c>
      <c r="J20" s="24"/>
      <c r="L20" s="17" t="s">
        <v>41</v>
      </c>
      <c r="M20" s="17"/>
      <c r="N20" s="25" t="str">
        <f>HLOOKUP(L20,A3:H17,8,0)</f>
        <v>SAMSUNG</v>
      </c>
    </row>
    <row r="21">
      <c r="A21" s="26" t="s">
        <v>56</v>
      </c>
      <c r="B21" s="27">
        <v>12.0</v>
      </c>
      <c r="C21" s="28">
        <v>23.0</v>
      </c>
      <c r="D21" s="28">
        <v>44.0</v>
      </c>
      <c r="F21" s="25" t="s">
        <v>57</v>
      </c>
      <c r="G21" s="25">
        <f t="shared" ref="G21:G23" si="1">VLOOKUP(F21,A3:H17,4,0)</f>
        <v>8</v>
      </c>
      <c r="H21" s="25">
        <f t="shared" ref="H21:H23" si="2">VLOOKUP(F21,A3:H17,7,0)</f>
        <v>4</v>
      </c>
      <c r="I21" s="25">
        <f t="shared" ref="I21:I23" si="3">VLOOKUP(F21,A3:H17,6,0)</f>
        <v>70</v>
      </c>
      <c r="L21" s="17" t="s">
        <v>10</v>
      </c>
      <c r="M21" s="17"/>
      <c r="N21" s="25" t="str">
        <f>HLOOKUP(L21,A3:H17,11,0)</f>
        <v>SAMSUNG</v>
      </c>
    </row>
    <row r="22">
      <c r="A22" s="29" t="s">
        <v>58</v>
      </c>
      <c r="B22" s="30">
        <v>13.0</v>
      </c>
      <c r="C22" s="10">
        <v>23.0</v>
      </c>
      <c r="D22" s="10">
        <v>33.0</v>
      </c>
      <c r="F22" s="25" t="s">
        <v>59</v>
      </c>
      <c r="G22" s="25">
        <f t="shared" si="1"/>
        <v>10</v>
      </c>
      <c r="H22" s="25">
        <f t="shared" si="2"/>
        <v>5</v>
      </c>
      <c r="I22" s="25">
        <f t="shared" si="3"/>
        <v>88</v>
      </c>
      <c r="L22" s="17" t="s">
        <v>10</v>
      </c>
      <c r="M22" s="17"/>
      <c r="N22" s="25" t="str">
        <f>HLOOKUP(L22,A3:H17,10,0)</f>
        <v>REDMI</v>
      </c>
    </row>
    <row r="23">
      <c r="A23" s="29" t="s">
        <v>60</v>
      </c>
      <c r="B23" s="30">
        <v>33.0</v>
      </c>
      <c r="C23" s="10">
        <v>22.0</v>
      </c>
      <c r="D23" s="10">
        <v>3.0</v>
      </c>
      <c r="F23" s="25" t="s">
        <v>42</v>
      </c>
      <c r="G23" s="25">
        <f t="shared" si="1"/>
        <v>7</v>
      </c>
      <c r="H23" s="25">
        <f t="shared" si="2"/>
        <v>10</v>
      </c>
      <c r="I23" s="25">
        <f t="shared" si="3"/>
        <v>86</v>
      </c>
      <c r="L23" s="17" t="s">
        <v>7</v>
      </c>
      <c r="M23" s="17"/>
      <c r="N23" s="25" t="str">
        <f>HLOOKUP(L23,A3:H17,14,0)</f>
        <v>Bhoomi</v>
      </c>
    </row>
    <row r="24">
      <c r="A24" s="31" t="s">
        <v>61</v>
      </c>
      <c r="B24" s="30">
        <v>22.0</v>
      </c>
      <c r="C24" s="32">
        <v>33.0</v>
      </c>
      <c r="D24" s="32">
        <v>22.0</v>
      </c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</row>
    <row r="25">
      <c r="A25" s="24"/>
      <c r="B25" s="19"/>
      <c r="C25" s="33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5"/>
    </row>
    <row r="26" ht="15.0" customHeight="1">
      <c r="B26" s="19"/>
      <c r="C26" s="36" t="s">
        <v>62</v>
      </c>
      <c r="D26" s="37"/>
      <c r="E26" s="38"/>
      <c r="F26" s="19"/>
      <c r="G26" s="39" t="s">
        <v>63</v>
      </c>
      <c r="H26" s="37"/>
      <c r="I26" s="38"/>
      <c r="J26" s="40"/>
      <c r="K26" s="39" t="s">
        <v>64</v>
      </c>
      <c r="L26" s="38"/>
      <c r="M26" s="40"/>
      <c r="N26" s="39" t="s">
        <v>65</v>
      </c>
      <c r="O26" s="37"/>
      <c r="P26" s="41"/>
    </row>
    <row r="27">
      <c r="A27" s="16" t="s">
        <v>20</v>
      </c>
      <c r="B27" s="42" t="s">
        <v>23</v>
      </c>
      <c r="C27" s="43"/>
      <c r="D27" s="44"/>
      <c r="E27" s="45"/>
      <c r="F27" s="46"/>
      <c r="G27" s="47"/>
      <c r="H27" s="44"/>
      <c r="I27" s="45"/>
      <c r="J27" s="40"/>
      <c r="K27" s="48"/>
      <c r="L27" s="49"/>
      <c r="M27" s="40"/>
      <c r="N27" s="47"/>
      <c r="O27" s="44"/>
      <c r="P27" s="50"/>
    </row>
    <row r="28">
      <c r="A28" s="51" t="s">
        <v>50</v>
      </c>
      <c r="B28" s="52" t="s">
        <v>51</v>
      </c>
      <c r="C28" s="53" t="s">
        <v>66</v>
      </c>
      <c r="D28" s="15" t="s">
        <v>67</v>
      </c>
      <c r="E28" s="15" t="s">
        <v>68</v>
      </c>
      <c r="F28" s="19"/>
      <c r="G28" s="15" t="s">
        <v>69</v>
      </c>
      <c r="H28" s="15" t="s">
        <v>70</v>
      </c>
      <c r="I28" s="19"/>
      <c r="J28" s="15" t="s">
        <v>70</v>
      </c>
      <c r="K28" s="15" t="s">
        <v>71</v>
      </c>
      <c r="L28" s="15" t="s">
        <v>72</v>
      </c>
      <c r="M28" s="19"/>
      <c r="N28" s="15" t="s">
        <v>65</v>
      </c>
      <c r="O28" s="15" t="s">
        <v>73</v>
      </c>
      <c r="P28" s="54" t="s">
        <v>74</v>
      </c>
    </row>
    <row r="29">
      <c r="B29" s="19"/>
      <c r="C29" s="53" t="s">
        <v>75</v>
      </c>
      <c r="D29" s="15" t="s">
        <v>76</v>
      </c>
      <c r="E29" s="15" t="s">
        <v>77</v>
      </c>
      <c r="F29" s="19"/>
      <c r="G29" s="15" t="s">
        <v>76</v>
      </c>
      <c r="H29" s="15" t="s">
        <v>78</v>
      </c>
      <c r="I29" s="19"/>
      <c r="J29" s="15" t="s">
        <v>78</v>
      </c>
      <c r="K29" s="15" t="s">
        <v>79</v>
      </c>
      <c r="L29" s="15" t="s">
        <v>80</v>
      </c>
      <c r="M29" s="19"/>
      <c r="N29" s="15" t="s">
        <v>80</v>
      </c>
      <c r="O29" s="15">
        <v>34.0</v>
      </c>
      <c r="P29" s="54">
        <v>6.0</v>
      </c>
    </row>
    <row r="30">
      <c r="A30" s="4" t="s">
        <v>81</v>
      </c>
      <c r="B30" s="55"/>
      <c r="C30" s="53" t="s">
        <v>82</v>
      </c>
      <c r="D30" s="15" t="s">
        <v>83</v>
      </c>
      <c r="E30" s="15" t="s">
        <v>84</v>
      </c>
      <c r="F30" s="19"/>
      <c r="G30" s="15" t="s">
        <v>83</v>
      </c>
      <c r="H30" s="15" t="s">
        <v>85</v>
      </c>
      <c r="I30" s="19"/>
      <c r="J30" s="15" t="s">
        <v>85</v>
      </c>
      <c r="K30" s="15" t="s">
        <v>86</v>
      </c>
      <c r="L30" s="15" t="s">
        <v>14</v>
      </c>
      <c r="M30" s="19"/>
      <c r="N30" s="15" t="s">
        <v>14</v>
      </c>
      <c r="O30" s="15">
        <v>10.0</v>
      </c>
      <c r="P30" s="54">
        <v>7.0</v>
      </c>
    </row>
    <row r="31">
      <c r="A31" s="10" t="s">
        <v>23</v>
      </c>
      <c r="B31" s="56">
        <f>HLOOKUP(HLOOKUP(A31,A27:B28,2,0),A20:D24,2,0)</f>
        <v>23</v>
      </c>
      <c r="C31" s="53" t="s">
        <v>87</v>
      </c>
      <c r="D31" s="15" t="s">
        <v>88</v>
      </c>
      <c r="E31" s="15" t="s">
        <v>78</v>
      </c>
      <c r="F31" s="19"/>
      <c r="G31" s="15" t="s">
        <v>88</v>
      </c>
      <c r="H31" s="15" t="s">
        <v>89</v>
      </c>
      <c r="I31" s="19"/>
      <c r="J31" s="15" t="s">
        <v>89</v>
      </c>
      <c r="K31" s="15" t="s">
        <v>90</v>
      </c>
      <c r="L31" s="15" t="s">
        <v>91</v>
      </c>
      <c r="M31" s="19"/>
      <c r="N31" s="15" t="s">
        <v>91</v>
      </c>
      <c r="O31" s="15">
        <v>43.0</v>
      </c>
      <c r="P31" s="57">
        <v>9.0</v>
      </c>
    </row>
    <row r="32">
      <c r="C32" s="58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59"/>
    </row>
    <row r="33">
      <c r="B33" s="25" t="s">
        <v>92</v>
      </c>
      <c r="C33" s="60" t="s">
        <v>75</v>
      </c>
      <c r="D33" s="17" t="str">
        <f t="shared" ref="D33:D35" si="4">VLOOKUP(C33,C28:H31,6,0)</f>
        <v>mr.pawan</v>
      </c>
      <c r="E33" s="19"/>
      <c r="F33" s="19" t="s">
        <v>93</v>
      </c>
      <c r="G33" s="17" t="s">
        <v>76</v>
      </c>
      <c r="H33" s="17" t="str">
        <f>VLOOKUP(VLOOKUP(C33,C28:H31,6,L331),J28:L31,3,0)</f>
        <v>english</v>
      </c>
      <c r="I33" s="19" t="s">
        <v>30</v>
      </c>
      <c r="J33" s="17" t="s">
        <v>94</v>
      </c>
      <c r="K33" s="17" t="s">
        <v>79</v>
      </c>
      <c r="L33" s="19">
        <f t="shared" ref="L33:L35" si="5">VLOOKUP(VLOOKUP(VLOOKUP(C33,C28:H31,6,L331),J28:L31,3,0),N28:P31,3,0)</f>
        <v>6</v>
      </c>
      <c r="M33" s="19"/>
      <c r="N33" s="17" t="s">
        <v>95</v>
      </c>
      <c r="O33" s="19">
        <f>VLOOKUP( VLOOKUP(VLOOKUP(VLOOKUP(C29,C28:E31,2,0),G28:H31,2,0),J28:L31,3,0),N28:P31,3,0)</f>
        <v>6</v>
      </c>
      <c r="P33" s="59"/>
    </row>
    <row r="34">
      <c r="C34" s="60" t="s">
        <v>82</v>
      </c>
      <c r="D34" s="17" t="str">
        <f t="shared" si="4"/>
        <v>mr.sujit</v>
      </c>
      <c r="E34" s="19"/>
      <c r="F34" s="19"/>
      <c r="G34" s="17" t="s">
        <v>83</v>
      </c>
      <c r="H34" s="17" t="str">
        <f t="shared" ref="H34:H35" si="6">VLOOKUP(VLOOKUP(C34,C29:H32,6,0),J29:L32,3,0)</f>
        <v>hindi</v>
      </c>
      <c r="I34" s="19"/>
      <c r="J34" s="19"/>
      <c r="K34" s="17" t="s">
        <v>96</v>
      </c>
      <c r="L34" s="19">
        <f t="shared" si="5"/>
        <v>7</v>
      </c>
      <c r="M34" s="19"/>
      <c r="N34" s="19"/>
      <c r="O34" s="19">
        <f t="shared" ref="O34:O35" si="7">VLOOKUP(VLOOKUP(VLOOKUP(VLOOKUP(C30,C29:E32,2,0),G29:H32,2,0),J29:L32,3,0),N29:P32,3,0)</f>
        <v>7</v>
      </c>
      <c r="P34" s="59"/>
    </row>
    <row r="35">
      <c r="C35" s="60" t="s">
        <v>87</v>
      </c>
      <c r="D35" s="17" t="str">
        <f t="shared" si="4"/>
        <v>mr.adarsh</v>
      </c>
      <c r="E35" s="19"/>
      <c r="F35" s="19"/>
      <c r="G35" s="17" t="s">
        <v>88</v>
      </c>
      <c r="H35" s="17" t="str">
        <f t="shared" si="6"/>
        <v>math</v>
      </c>
      <c r="I35" s="19"/>
      <c r="J35" s="19"/>
      <c r="K35" s="17" t="s">
        <v>97</v>
      </c>
      <c r="L35" s="19">
        <f t="shared" si="5"/>
        <v>9</v>
      </c>
      <c r="M35" s="19"/>
      <c r="N35" s="19"/>
      <c r="O35" s="19">
        <f t="shared" si="7"/>
        <v>9</v>
      </c>
      <c r="P35" s="59"/>
    </row>
    <row r="36">
      <c r="A36" s="19"/>
      <c r="B36" s="19"/>
      <c r="C36" s="58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59"/>
    </row>
    <row r="37" ht="15.0" customHeight="1">
      <c r="C37" s="58"/>
      <c r="D37" s="19"/>
      <c r="E37" s="19"/>
      <c r="F37" s="19"/>
      <c r="G37" s="19"/>
      <c r="H37" s="61" t="s">
        <v>98</v>
      </c>
      <c r="I37" s="2"/>
      <c r="J37" s="2"/>
      <c r="K37" s="3"/>
      <c r="L37" s="15"/>
      <c r="M37" s="19" t="s">
        <v>75</v>
      </c>
      <c r="N37" s="19" t="str">
        <f>VLOOKUP(M37,C28:E31,2,0)</f>
        <v>d1</v>
      </c>
      <c r="O37" s="19"/>
      <c r="P37" s="59"/>
    </row>
    <row r="38" ht="15.0" customHeight="1">
      <c r="C38" s="58"/>
      <c r="D38" s="19"/>
      <c r="E38" s="19"/>
      <c r="F38" s="19"/>
      <c r="G38" s="19"/>
      <c r="H38" s="62"/>
      <c r="K38" s="63"/>
      <c r="L38" s="19"/>
      <c r="M38" s="19"/>
      <c r="N38" s="19"/>
      <c r="O38" s="19"/>
      <c r="P38" s="59"/>
    </row>
    <row r="39" ht="15.0" customHeight="1">
      <c r="C39" s="64"/>
      <c r="D39" s="65"/>
      <c r="E39" s="65"/>
      <c r="F39" s="65"/>
      <c r="G39" s="65"/>
      <c r="H39" s="66"/>
      <c r="I39" s="67"/>
      <c r="J39" s="67"/>
      <c r="K39" s="68"/>
      <c r="L39" s="65"/>
      <c r="M39" s="65"/>
      <c r="N39" s="65"/>
      <c r="O39" s="65"/>
      <c r="P39" s="69"/>
    </row>
    <row r="40" ht="15.0" customHeight="1">
      <c r="N40" s="25">
        <v>0.0</v>
      </c>
    </row>
    <row r="41" ht="15.0" customHeight="1"/>
    <row r="42" ht="15.0" customHeight="1">
      <c r="C42" s="33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5"/>
    </row>
    <row r="43" ht="15.0" customHeight="1">
      <c r="C43" s="58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59"/>
    </row>
    <row r="44" ht="15.0" customHeight="1">
      <c r="C44" s="58"/>
      <c r="D44" s="36" t="s">
        <v>62</v>
      </c>
      <c r="E44" s="38"/>
      <c r="F44" s="53" t="s">
        <v>66</v>
      </c>
      <c r="G44" s="53" t="s">
        <v>75</v>
      </c>
      <c r="H44" s="53" t="s">
        <v>82</v>
      </c>
      <c r="I44" s="53" t="s">
        <v>87</v>
      </c>
      <c r="J44" s="19"/>
      <c r="K44" s="15" t="s">
        <v>92</v>
      </c>
      <c r="L44" s="15" t="s">
        <v>75</v>
      </c>
      <c r="M44" s="10" t="str">
        <f>HLOOKUP(L44,F44:I46,2,0)</f>
        <v>d1</v>
      </c>
      <c r="N44" s="59"/>
    </row>
    <row r="45" ht="15.0" customHeight="1">
      <c r="C45" s="58"/>
      <c r="D45" s="70"/>
      <c r="E45" s="71"/>
      <c r="F45" s="15" t="s">
        <v>67</v>
      </c>
      <c r="G45" s="15" t="s">
        <v>76</v>
      </c>
      <c r="H45" s="15" t="s">
        <v>83</v>
      </c>
      <c r="I45" s="15" t="s">
        <v>88</v>
      </c>
      <c r="J45" s="19"/>
      <c r="K45" s="10"/>
      <c r="L45" s="15" t="s">
        <v>82</v>
      </c>
      <c r="M45" s="10" t="str">
        <f>HLOOKUP(L45,F44:I46,2,0)</f>
        <v>d2</v>
      </c>
      <c r="N45" s="59"/>
    </row>
    <row r="46" ht="15.0" customHeight="1">
      <c r="C46" s="58"/>
      <c r="D46" s="43"/>
      <c r="E46" s="45"/>
      <c r="F46" s="15" t="s">
        <v>68</v>
      </c>
      <c r="G46" s="15" t="s">
        <v>77</v>
      </c>
      <c r="H46" s="15" t="s">
        <v>84</v>
      </c>
      <c r="I46" s="15" t="s">
        <v>78</v>
      </c>
      <c r="J46" s="19"/>
      <c r="K46" s="10"/>
      <c r="L46" s="15" t="s">
        <v>87</v>
      </c>
      <c r="M46" s="10" t="str">
        <f>HLOOKUP(L46,F44:I46,2,0)</f>
        <v>d3</v>
      </c>
      <c r="N46" s="59"/>
    </row>
    <row r="47" ht="15.0" customHeight="1">
      <c r="C47" s="58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59"/>
    </row>
    <row r="48" ht="15.0" customHeight="1">
      <c r="C48" s="58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59"/>
    </row>
    <row r="49" ht="15.0" customHeight="1">
      <c r="C49" s="58"/>
      <c r="D49" s="39" t="s">
        <v>63</v>
      </c>
      <c r="E49" s="38"/>
      <c r="F49" s="15" t="s">
        <v>69</v>
      </c>
      <c r="G49" s="15" t="s">
        <v>76</v>
      </c>
      <c r="H49" s="15" t="s">
        <v>83</v>
      </c>
      <c r="I49" s="15" t="s">
        <v>88</v>
      </c>
      <c r="J49" s="19"/>
      <c r="K49" s="15" t="s">
        <v>93</v>
      </c>
      <c r="L49" s="15" t="s">
        <v>76</v>
      </c>
      <c r="M49" s="10" t="str">
        <f>HLOOKUP(HLOOKUP(L49,F49:I50,2,0),F54:I56,3,0)</f>
        <v>english</v>
      </c>
      <c r="N49" s="59"/>
    </row>
    <row r="50" ht="15.0" customHeight="1">
      <c r="C50" s="58"/>
      <c r="D50" s="72"/>
      <c r="E50" s="71"/>
      <c r="F50" s="15" t="s">
        <v>70</v>
      </c>
      <c r="G50" s="15" t="s">
        <v>78</v>
      </c>
      <c r="H50" s="15" t="s">
        <v>85</v>
      </c>
      <c r="I50" s="15" t="s">
        <v>89</v>
      </c>
      <c r="J50" s="19"/>
      <c r="K50" s="10"/>
      <c r="L50" s="15" t="s">
        <v>83</v>
      </c>
      <c r="M50" s="10" t="str">
        <f>HLOOKUP(HLOOKUP(L50,F49:I50,2,0),F54:I56,3,0)</f>
        <v>hindi</v>
      </c>
      <c r="N50" s="59"/>
    </row>
    <row r="51" ht="15.0" customHeight="1">
      <c r="C51" s="58"/>
      <c r="D51" s="47"/>
      <c r="E51" s="45"/>
      <c r="F51" s="19"/>
      <c r="G51" s="19"/>
      <c r="H51" s="19"/>
      <c r="I51" s="19"/>
      <c r="J51" s="19"/>
      <c r="K51" s="10"/>
      <c r="L51" s="15" t="s">
        <v>88</v>
      </c>
      <c r="M51" s="10" t="str">
        <f>HLOOKUP(HLOOKUP(L51,F49:I50,2,0),F54:I56,3,0)</f>
        <v>math</v>
      </c>
      <c r="N51" s="59"/>
    </row>
    <row r="52" ht="15.0" customHeight="1">
      <c r="C52" s="58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59"/>
    </row>
    <row r="53" ht="15.0" customHeight="1">
      <c r="C53" s="58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59"/>
    </row>
    <row r="54" ht="15.0" customHeight="1">
      <c r="C54" s="58"/>
      <c r="D54" s="40"/>
      <c r="E54" s="40"/>
      <c r="F54" s="15" t="s">
        <v>70</v>
      </c>
      <c r="G54" s="15" t="s">
        <v>78</v>
      </c>
      <c r="H54" s="15" t="s">
        <v>85</v>
      </c>
      <c r="I54" s="15" t="s">
        <v>89</v>
      </c>
      <c r="J54" s="19"/>
      <c r="K54" s="15" t="s">
        <v>94</v>
      </c>
      <c r="L54" s="15" t="s">
        <v>76</v>
      </c>
      <c r="M54" s="10">
        <f t="shared" ref="M54:M56" si="8">HLOOKUP(HLOOKUP(HLOOKUP(L54,$F$49:$I$50,2,0),$F$54:$I$56,3,0),$F$59:$I$61,3,0)</f>
        <v>6</v>
      </c>
      <c r="N54" s="59"/>
    </row>
    <row r="55" ht="15.0" customHeight="1">
      <c r="C55" s="58"/>
      <c r="D55" s="39" t="s">
        <v>64</v>
      </c>
      <c r="E55" s="38"/>
      <c r="F55" s="15" t="s">
        <v>71</v>
      </c>
      <c r="G55" s="15" t="s">
        <v>79</v>
      </c>
      <c r="H55" s="15" t="s">
        <v>86</v>
      </c>
      <c r="I55" s="15" t="s">
        <v>90</v>
      </c>
      <c r="J55" s="19"/>
      <c r="K55" s="10"/>
      <c r="L55" s="15" t="s">
        <v>83</v>
      </c>
      <c r="M55" s="10">
        <f t="shared" si="8"/>
        <v>7</v>
      </c>
      <c r="N55" s="59"/>
    </row>
    <row r="56" ht="15.0" customHeight="1">
      <c r="C56" s="58"/>
      <c r="D56" s="48"/>
      <c r="E56" s="49"/>
      <c r="F56" s="15" t="s">
        <v>72</v>
      </c>
      <c r="G56" s="15" t="s">
        <v>80</v>
      </c>
      <c r="H56" s="15" t="s">
        <v>14</v>
      </c>
      <c r="I56" s="15" t="s">
        <v>91</v>
      </c>
      <c r="J56" s="19"/>
      <c r="K56" s="10"/>
      <c r="L56" s="15" t="s">
        <v>88</v>
      </c>
      <c r="M56" s="10">
        <f t="shared" si="8"/>
        <v>9</v>
      </c>
      <c r="N56" s="59"/>
    </row>
    <row r="57" ht="15.0" customHeight="1">
      <c r="C57" s="58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59"/>
    </row>
    <row r="58" ht="15.0" customHeight="1">
      <c r="C58" s="58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59"/>
    </row>
    <row r="59" ht="15.0" customHeight="1">
      <c r="C59" s="58"/>
      <c r="D59" s="39" t="s">
        <v>65</v>
      </c>
      <c r="E59" s="41"/>
      <c r="F59" s="15" t="s">
        <v>65</v>
      </c>
      <c r="G59" s="15" t="s">
        <v>80</v>
      </c>
      <c r="H59" s="15" t="s">
        <v>14</v>
      </c>
      <c r="I59" s="15" t="s">
        <v>91</v>
      </c>
      <c r="J59" s="19"/>
      <c r="K59" s="15" t="s">
        <v>99</v>
      </c>
      <c r="L59" s="10"/>
      <c r="M59" s="15">
        <f t="shared" ref="M59:M61" si="9">HLOOKUP(HLOOKUP(HLOOKUP(HLOOKUP(L44,$F$44:$I$46,2,0),$F$49:$I$50,2,0),$F$54:$I$56,3,0),$F$59:$I$61,3,0)</f>
        <v>6</v>
      </c>
      <c r="N59" s="59"/>
    </row>
    <row r="60" ht="15.0" customHeight="1">
      <c r="C60" s="58"/>
      <c r="D60" s="72"/>
      <c r="E60" s="73"/>
      <c r="F60" s="15" t="s">
        <v>73</v>
      </c>
      <c r="G60" s="15">
        <v>34.0</v>
      </c>
      <c r="H60" s="15">
        <v>10.0</v>
      </c>
      <c r="I60" s="15">
        <v>43.0</v>
      </c>
      <c r="J60" s="19"/>
      <c r="K60" s="10"/>
      <c r="L60" s="10"/>
      <c r="M60" s="15">
        <f t="shared" si="9"/>
        <v>7</v>
      </c>
      <c r="N60" s="59"/>
    </row>
    <row r="61" ht="15.0" customHeight="1">
      <c r="C61" s="58"/>
      <c r="D61" s="47"/>
      <c r="E61" s="50"/>
      <c r="F61" s="54" t="s">
        <v>74</v>
      </c>
      <c r="G61" s="54">
        <v>6.0</v>
      </c>
      <c r="H61" s="54">
        <v>7.0</v>
      </c>
      <c r="I61" s="57">
        <v>9.0</v>
      </c>
      <c r="J61" s="19"/>
      <c r="K61" s="10"/>
      <c r="L61" s="10"/>
      <c r="M61" s="15">
        <f t="shared" si="9"/>
        <v>9</v>
      </c>
      <c r="N61" s="59"/>
    </row>
    <row r="62" ht="15.0" customHeight="1">
      <c r="C62" s="58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59"/>
    </row>
    <row r="63" ht="15.0" customHeight="1">
      <c r="C63" s="58"/>
      <c r="D63" s="19"/>
      <c r="E63" s="19"/>
      <c r="F63" s="19"/>
      <c r="G63" s="74" t="s">
        <v>100</v>
      </c>
      <c r="H63" s="2"/>
      <c r="I63" s="2"/>
      <c r="J63" s="3"/>
      <c r="K63" s="19"/>
      <c r="L63" s="19"/>
      <c r="M63" s="19"/>
      <c r="N63" s="59"/>
    </row>
    <row r="64" ht="15.0" customHeight="1">
      <c r="C64" s="64"/>
      <c r="D64" s="65"/>
      <c r="E64" s="65"/>
      <c r="F64" s="65"/>
      <c r="G64" s="66"/>
      <c r="H64" s="67"/>
      <c r="I64" s="67"/>
      <c r="J64" s="68"/>
      <c r="K64" s="65"/>
      <c r="L64" s="65"/>
      <c r="M64" s="65"/>
      <c r="N64" s="69"/>
    </row>
    <row r="66" ht="15.0" customHeight="1"/>
    <row r="67" ht="15.0" customHeight="1">
      <c r="C67" s="33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5"/>
    </row>
    <row r="68" ht="15.0" customHeight="1">
      <c r="C68" s="58"/>
      <c r="D68" s="36" t="s">
        <v>62</v>
      </c>
      <c r="E68" s="37"/>
      <c r="F68" s="38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59"/>
    </row>
    <row r="69" ht="15.0" customHeight="1">
      <c r="C69" s="58"/>
      <c r="D69" s="43"/>
      <c r="E69" s="44"/>
      <c r="F69" s="45"/>
      <c r="G69" s="19"/>
      <c r="H69" s="19"/>
      <c r="I69" s="19"/>
      <c r="J69" s="19"/>
      <c r="K69" s="19" t="s">
        <v>101</v>
      </c>
      <c r="L69" s="19" t="s">
        <v>75</v>
      </c>
      <c r="M69" s="19" t="str">
        <f t="shared" ref="M69:M71" si="10">HLOOKUP(VLOOKUP(L69,$D$70:$F$73,2,0),$F$76:$I$77,2,0)</f>
        <v>mr.pawan</v>
      </c>
      <c r="N69" s="19"/>
      <c r="O69" s="19"/>
      <c r="P69" s="19"/>
      <c r="Q69" s="19"/>
      <c r="R69" s="19"/>
      <c r="S69" s="59"/>
    </row>
    <row r="70" ht="15.0" customHeight="1">
      <c r="C70" s="58"/>
      <c r="D70" s="53" t="s">
        <v>66</v>
      </c>
      <c r="E70" s="15" t="s">
        <v>67</v>
      </c>
      <c r="F70" s="15" t="s">
        <v>68</v>
      </c>
      <c r="G70" s="19"/>
      <c r="H70" s="19"/>
      <c r="I70" s="19"/>
      <c r="J70" s="19"/>
      <c r="K70" s="19"/>
      <c r="L70" s="19" t="s">
        <v>82</v>
      </c>
      <c r="M70" s="19" t="str">
        <f t="shared" si="10"/>
        <v>mr.sujit</v>
      </c>
      <c r="N70" s="19"/>
      <c r="O70" s="19"/>
      <c r="P70" s="19"/>
      <c r="Q70" s="19"/>
      <c r="R70" s="19"/>
      <c r="S70" s="59"/>
    </row>
    <row r="71" ht="15.0" customHeight="1">
      <c r="C71" s="58"/>
      <c r="D71" s="53" t="s">
        <v>75</v>
      </c>
      <c r="E71" s="15" t="s">
        <v>76</v>
      </c>
      <c r="F71" s="15" t="s">
        <v>77</v>
      </c>
      <c r="G71" s="19"/>
      <c r="H71" s="19"/>
      <c r="I71" s="19"/>
      <c r="J71" s="19"/>
      <c r="K71" s="19"/>
      <c r="L71" s="19" t="s">
        <v>87</v>
      </c>
      <c r="M71" s="19" t="str">
        <f t="shared" si="10"/>
        <v>mr.adarsh</v>
      </c>
      <c r="N71" s="19"/>
      <c r="O71" s="19"/>
      <c r="P71" s="19"/>
      <c r="Q71" s="19"/>
      <c r="R71" s="19"/>
      <c r="S71" s="59"/>
    </row>
    <row r="72" ht="15.0" customHeight="1">
      <c r="C72" s="58"/>
      <c r="D72" s="53" t="s">
        <v>82</v>
      </c>
      <c r="E72" s="15" t="s">
        <v>83</v>
      </c>
      <c r="F72" s="15" t="s">
        <v>84</v>
      </c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59"/>
    </row>
    <row r="73" ht="15.0" customHeight="1">
      <c r="C73" s="58"/>
      <c r="D73" s="53" t="s">
        <v>87</v>
      </c>
      <c r="E73" s="15" t="s">
        <v>88</v>
      </c>
      <c r="F73" s="15" t="s">
        <v>78</v>
      </c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59"/>
    </row>
    <row r="74" ht="15.0" customHeight="1">
      <c r="C74" s="58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59"/>
    </row>
    <row r="75" ht="15.0" customHeight="1">
      <c r="C75" s="58"/>
      <c r="D75" s="19"/>
      <c r="E75" s="19"/>
      <c r="F75" s="19"/>
      <c r="G75" s="19"/>
      <c r="H75" s="19"/>
      <c r="I75" s="19"/>
      <c r="J75" s="19"/>
      <c r="K75" s="19" t="s">
        <v>102</v>
      </c>
      <c r="L75" s="19" t="s">
        <v>76</v>
      </c>
      <c r="M75" s="19" t="str">
        <f t="shared" ref="M75:M77" si="11">VLOOKUP(HLOOKUP(L75,$F$76:$I$77,2,0),$D$83:$F$86,3,0)</f>
        <v>english</v>
      </c>
      <c r="N75" s="19"/>
      <c r="O75" s="19"/>
      <c r="P75" s="19"/>
      <c r="Q75" s="19"/>
      <c r="R75" s="19"/>
      <c r="S75" s="59"/>
    </row>
    <row r="76" ht="15.0" customHeight="1">
      <c r="C76" s="58"/>
      <c r="D76" s="39" t="s">
        <v>63</v>
      </c>
      <c r="E76" s="38"/>
      <c r="F76" s="15" t="s">
        <v>69</v>
      </c>
      <c r="G76" s="15" t="s">
        <v>76</v>
      </c>
      <c r="H76" s="15" t="s">
        <v>83</v>
      </c>
      <c r="I76" s="15" t="s">
        <v>88</v>
      </c>
      <c r="J76" s="19"/>
      <c r="K76" s="19"/>
      <c r="L76" s="19" t="s">
        <v>83</v>
      </c>
      <c r="M76" s="19" t="str">
        <f t="shared" si="11"/>
        <v>hindi</v>
      </c>
      <c r="N76" s="19"/>
      <c r="O76" s="19"/>
      <c r="P76" s="19"/>
      <c r="Q76" s="19"/>
      <c r="R76" s="19"/>
      <c r="S76" s="59"/>
    </row>
    <row r="77" ht="15.0" customHeight="1">
      <c r="C77" s="58"/>
      <c r="D77" s="72"/>
      <c r="E77" s="71"/>
      <c r="F77" s="15" t="s">
        <v>70</v>
      </c>
      <c r="G77" s="15" t="s">
        <v>78</v>
      </c>
      <c r="H77" s="15" t="s">
        <v>85</v>
      </c>
      <c r="I77" s="15" t="s">
        <v>89</v>
      </c>
      <c r="J77" s="19"/>
      <c r="K77" s="19"/>
      <c r="L77" s="19" t="s">
        <v>88</v>
      </c>
      <c r="M77" s="19" t="str">
        <f t="shared" si="11"/>
        <v>math</v>
      </c>
      <c r="N77" s="19"/>
      <c r="O77" s="19"/>
      <c r="P77" s="19"/>
      <c r="Q77" s="19"/>
      <c r="R77" s="19"/>
      <c r="S77" s="59"/>
    </row>
    <row r="78" ht="15.0" customHeight="1">
      <c r="C78" s="58"/>
      <c r="D78" s="47"/>
      <c r="E78" s="45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59"/>
    </row>
    <row r="79" ht="15.0" customHeight="1">
      <c r="C79" s="58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59"/>
    </row>
    <row r="80" ht="15.0" customHeight="1">
      <c r="C80" s="58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59"/>
    </row>
    <row r="81" ht="15.0" customHeight="1">
      <c r="C81" s="58"/>
      <c r="D81" s="75" t="s">
        <v>64</v>
      </c>
      <c r="E81" s="2"/>
      <c r="F81" s="76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59"/>
    </row>
    <row r="82" ht="15.0" customHeight="1">
      <c r="C82" s="58"/>
      <c r="D82" s="77"/>
      <c r="E82" s="44"/>
      <c r="F82" s="45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59"/>
    </row>
    <row r="83" ht="15.0" customHeight="1">
      <c r="C83" s="58"/>
      <c r="D83" s="15" t="s">
        <v>70</v>
      </c>
      <c r="E83" s="15" t="s">
        <v>71</v>
      </c>
      <c r="F83" s="15" t="s">
        <v>72</v>
      </c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59"/>
    </row>
    <row r="84" ht="15.0" customHeight="1">
      <c r="C84" s="58"/>
      <c r="D84" s="15" t="s">
        <v>78</v>
      </c>
      <c r="E84" s="15" t="s">
        <v>79</v>
      </c>
      <c r="F84" s="15" t="s">
        <v>80</v>
      </c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59"/>
    </row>
    <row r="85" ht="15.0" customHeight="1">
      <c r="C85" s="58"/>
      <c r="D85" s="15" t="s">
        <v>85</v>
      </c>
      <c r="E85" s="15" t="s">
        <v>86</v>
      </c>
      <c r="F85" s="15" t="s">
        <v>14</v>
      </c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59"/>
    </row>
    <row r="86" ht="15.0" customHeight="1">
      <c r="C86" s="58"/>
      <c r="D86" s="15" t="s">
        <v>89</v>
      </c>
      <c r="E86" s="15" t="s">
        <v>90</v>
      </c>
      <c r="F86" s="15" t="s">
        <v>91</v>
      </c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59"/>
    </row>
    <row r="87" ht="15.0" customHeight="1">
      <c r="C87" s="58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59"/>
    </row>
    <row r="88" ht="15.0" customHeight="1">
      <c r="C88" s="58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59"/>
    </row>
    <row r="89" ht="15.0" customHeight="1">
      <c r="C89" s="58"/>
      <c r="D89" s="39" t="s">
        <v>65</v>
      </c>
      <c r="E89" s="41"/>
      <c r="F89" s="15" t="s">
        <v>65</v>
      </c>
      <c r="G89" s="15" t="s">
        <v>80</v>
      </c>
      <c r="H89" s="15" t="s">
        <v>14</v>
      </c>
      <c r="I89" s="15" t="s">
        <v>91</v>
      </c>
      <c r="J89" s="19"/>
      <c r="K89" s="19"/>
      <c r="L89" s="19"/>
      <c r="M89" s="19"/>
      <c r="N89" s="19"/>
      <c r="O89" s="19"/>
      <c r="P89" s="19"/>
      <c r="Q89" s="19"/>
      <c r="R89" s="19"/>
      <c r="S89" s="59"/>
    </row>
    <row r="90" ht="15.0" customHeight="1">
      <c r="C90" s="58"/>
      <c r="D90" s="72"/>
      <c r="E90" s="73"/>
      <c r="F90" s="15" t="s">
        <v>73</v>
      </c>
      <c r="G90" s="15">
        <v>34.0</v>
      </c>
      <c r="H90" s="15">
        <v>10.0</v>
      </c>
      <c r="I90" s="15">
        <v>43.0</v>
      </c>
      <c r="J90" s="19"/>
      <c r="K90" s="19"/>
      <c r="L90" s="19"/>
      <c r="M90" s="19"/>
      <c r="N90" s="19"/>
      <c r="O90" s="19"/>
      <c r="P90" s="19"/>
      <c r="Q90" s="19"/>
      <c r="R90" s="19"/>
      <c r="S90" s="59"/>
    </row>
    <row r="91" ht="15.0" customHeight="1">
      <c r="C91" s="58"/>
      <c r="D91" s="47"/>
      <c r="E91" s="50"/>
      <c r="F91" s="54" t="s">
        <v>74</v>
      </c>
      <c r="G91" s="54">
        <v>6.0</v>
      </c>
      <c r="H91" s="54">
        <v>7.0</v>
      </c>
      <c r="I91" s="57">
        <v>9.0</v>
      </c>
      <c r="J91" s="19"/>
      <c r="K91" s="19"/>
      <c r="L91" s="19"/>
      <c r="M91" s="19"/>
      <c r="N91" s="19"/>
      <c r="O91" s="19"/>
      <c r="P91" s="19"/>
      <c r="Q91" s="19"/>
      <c r="R91" s="19"/>
      <c r="S91" s="59"/>
    </row>
    <row r="92" ht="15.0" customHeight="1">
      <c r="C92" s="58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59"/>
    </row>
    <row r="93" ht="15.0" customHeight="1">
      <c r="C93" s="58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59"/>
    </row>
    <row r="94" ht="15.0" customHeight="1">
      <c r="C94" s="58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59"/>
    </row>
    <row r="95" ht="15.0" customHeight="1">
      <c r="C95" s="58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59"/>
    </row>
    <row r="96" ht="15.0" customHeight="1">
      <c r="C96" s="64"/>
      <c r="D96" s="65"/>
      <c r="E96" s="65"/>
      <c r="F96" s="65"/>
      <c r="G96" s="65"/>
      <c r="H96" s="65"/>
      <c r="I96" s="65"/>
      <c r="J96" s="65"/>
      <c r="K96" s="65"/>
      <c r="L96" s="65"/>
      <c r="M96" s="65"/>
      <c r="N96" s="65"/>
      <c r="O96" s="65"/>
      <c r="P96" s="65"/>
      <c r="Q96" s="65"/>
      <c r="R96" s="65"/>
      <c r="S96" s="69"/>
    </row>
  </sheetData>
  <mergeCells count="17">
    <mergeCell ref="A1:H2"/>
    <mergeCell ref="I1:K1"/>
    <mergeCell ref="G26:I27"/>
    <mergeCell ref="K26:L27"/>
    <mergeCell ref="N26:P27"/>
    <mergeCell ref="A30:B30"/>
    <mergeCell ref="H37:K39"/>
    <mergeCell ref="D76:E78"/>
    <mergeCell ref="D81:F82"/>
    <mergeCell ref="D89:E91"/>
    <mergeCell ref="C26:E27"/>
    <mergeCell ref="D44:E46"/>
    <mergeCell ref="D49:E51"/>
    <mergeCell ref="D55:E56"/>
    <mergeCell ref="D59:E61"/>
    <mergeCell ref="G63:J64"/>
    <mergeCell ref="D68:F69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2025-08-29T03:25:50Z</dcterms:created>
  <dc:creator>Microsoft Office User</dc:creator>
</cp:coreProperties>
</file>