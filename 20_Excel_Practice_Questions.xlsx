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ngh\AppData\Local\Packages\5319275A.WhatsAppDesktop_cv1g1gvanyjgm\LocalState\sessions\E92544B7161B929DC5D51A181CBE641D117F942B\transfers\2026-21\"/>
    </mc:Choice>
  </mc:AlternateContent>
  <xr:revisionPtr revIDLastSave="0" documentId="13_ncr:1_{EDCAE0FA-740D-4C93-958E-57315A30DDA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xcel Practice Questions" sheetId="1" r:id="rId1"/>
    <sheet name="PRACTICE  SHEET" sheetId="2" r:id="rId2"/>
  </sheets>
  <calcPr calcId="191029"/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" i="2"/>
  <c r="U3" i="2"/>
  <c r="X3" i="2" s="1"/>
  <c r="U4" i="2"/>
  <c r="X4" i="2" s="1"/>
  <c r="U5" i="2"/>
  <c r="X5" i="2" s="1"/>
  <c r="U6" i="2"/>
  <c r="X6" i="2" s="1"/>
  <c r="U7" i="2"/>
  <c r="X7" i="2" s="1"/>
  <c r="U8" i="2"/>
  <c r="X8" i="2" s="1"/>
  <c r="U9" i="2"/>
  <c r="X9" i="2" s="1"/>
  <c r="U10" i="2"/>
  <c r="X10" i="2" s="1"/>
  <c r="U11" i="2"/>
  <c r="X11" i="2" s="1"/>
  <c r="U12" i="2"/>
  <c r="X12" i="2" s="1"/>
  <c r="U13" i="2"/>
  <c r="X13" i="2" s="1"/>
  <c r="U14" i="2"/>
  <c r="X14" i="2" s="1"/>
  <c r="U15" i="2"/>
  <c r="X15" i="2" s="1"/>
  <c r="U16" i="2"/>
  <c r="X16" i="2" s="1"/>
  <c r="U17" i="2"/>
  <c r="X17" i="2" s="1"/>
  <c r="U18" i="2"/>
  <c r="X18" i="2" s="1"/>
  <c r="U19" i="2"/>
  <c r="X19" i="2" s="1"/>
  <c r="U20" i="2"/>
  <c r="X20" i="2" s="1"/>
  <c r="U21" i="2"/>
  <c r="X21" i="2" s="1"/>
  <c r="U2" i="2"/>
  <c r="X2" i="2" s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4" i="2"/>
  <c r="P5" i="2"/>
  <c r="P2" i="2"/>
  <c r="B32" i="1"/>
  <c r="B31" i="1"/>
  <c r="B30" i="1"/>
  <c r="B29" i="1"/>
  <c r="B28" i="1"/>
  <c r="B27" i="1"/>
</calcChain>
</file>

<file path=xl/sharedStrings.xml><?xml version="1.0" encoding="utf-8"?>
<sst xmlns="http://schemas.openxmlformats.org/spreadsheetml/2006/main" count="255" uniqueCount="106">
  <si>
    <t>Q.No</t>
  </si>
  <si>
    <t>Marks</t>
  </si>
  <si>
    <t>Attendance</t>
  </si>
  <si>
    <t>Sports</t>
  </si>
  <si>
    <t>NCC</t>
  </si>
  <si>
    <t>Sales</t>
  </si>
  <si>
    <t>Experience</t>
  </si>
  <si>
    <t>Salary</t>
  </si>
  <si>
    <t>CIBIL</t>
  </si>
  <si>
    <t>Result / Formula</t>
  </si>
  <si>
    <t>1. IF: Pass/Fail based on Marks</t>
  </si>
  <si>
    <t>Yes</t>
  </si>
  <si>
    <t>No</t>
  </si>
  <si>
    <t>2. IF: Salary High/Low</t>
  </si>
  <si>
    <t>3. AND: Pass if Marks&gt;=40 and Attendance&gt;=75</t>
  </si>
  <si>
    <t>4. OR: Grace if Sports or NCC is Yes</t>
  </si>
  <si>
    <t>5. AND: Bonus if Sales&gt;50000 and Experience&gt;2</t>
  </si>
  <si>
    <t>6. OR: Eligible if Sports or NCC is Yes</t>
  </si>
  <si>
    <t>7. Nested IF: Grade A/B/C/Fail</t>
  </si>
  <si>
    <t>8. Nested IF: Electricity Category</t>
  </si>
  <si>
    <t>9. VLOOKUP: Find Marks by ID</t>
  </si>
  <si>
    <t>10. HLOOKUP: Find Monthly Sales</t>
  </si>
  <si>
    <t>11. Combined IF+AND</t>
  </si>
  <si>
    <t>12. Combined IF+OR</t>
  </si>
  <si>
    <t>13. Loan Approval Formula</t>
  </si>
  <si>
    <t>14. Student Performance Formula</t>
  </si>
  <si>
    <t>15. Employee Bonus Formula</t>
  </si>
  <si>
    <t>16. Four-Level Nesting Grade Formula</t>
  </si>
  <si>
    <t>17. Four-Level Nesting Salary Category</t>
  </si>
  <si>
    <t>18. Combined AND+OR+IF</t>
  </si>
  <si>
    <t>19. Advanced Nested IF</t>
  </si>
  <si>
    <t>20. Final Combined Practice</t>
  </si>
  <si>
    <t>Practice Formula Examples</t>
  </si>
  <si>
    <t>IF</t>
  </si>
  <si>
    <t>AND</t>
  </si>
  <si>
    <t>OR</t>
  </si>
  <si>
    <t>Nested IF</t>
  </si>
  <si>
    <t>Four Level Nesting</t>
  </si>
  <si>
    <t>Combined Formula</t>
  </si>
  <si>
    <t>Question 1</t>
  </si>
  <si>
    <t>If the student’s marks are 40 or above, display “Pass”, otherwise display “Fail”.</t>
  </si>
  <si>
    <t>Question 2</t>
  </si>
  <si>
    <t>If the employee salary is greater than 50,000, display “High Salary”, otherwise display “Low Salary”.</t>
  </si>
  <si>
    <t>Question 3</t>
  </si>
  <si>
    <t>If attendance is 75% or more, display “Eligible”, otherwise display “Not Eligible”.</t>
  </si>
  <si>
    <t>Section 2 — AND Function</t>
  </si>
  <si>
    <t>Question 4</t>
  </si>
  <si>
    <t>Pass/Fail</t>
  </si>
  <si>
    <t>Salary grade</t>
  </si>
  <si>
    <t>Attendance (Eligible/Not Eligible)</t>
  </si>
  <si>
    <t>A student will pass only if  Marks are 40 or above AND Attendance is 75% or above Display “Pass” or “Fail”.</t>
  </si>
  <si>
    <t>Result</t>
  </si>
  <si>
    <t>Question 5</t>
  </si>
  <si>
    <t>An employee will receive a bonus only if Sales are greater than 50,000 AND Experience is greater than 3 years Display “Bonus” or “No Bonus”.</t>
  </si>
  <si>
    <t>Bonus / No Bonus</t>
  </si>
  <si>
    <t>A candidate is eligible for interview only if Age is 18 or above AND Documents Submitted = “Yes” Display “Eligible” or “Not Eligible”.</t>
  </si>
  <si>
    <t>Question 6</t>
  </si>
  <si>
    <t>Interview (Eligible/Not Eligible)</t>
  </si>
  <si>
    <t>Age</t>
  </si>
  <si>
    <t>Doc. Submitted</t>
  </si>
  <si>
    <t>Section 3 — OR Function</t>
  </si>
  <si>
    <t>Question 7</t>
  </si>
  <si>
    <t>A student will get grace marks if: Sports = “Yes” OR NCC = “Yes” Display “Grace” or “No Grace”</t>
  </si>
  <si>
    <t>Grace Marks</t>
  </si>
  <si>
    <t>Coustmer type</t>
  </si>
  <si>
    <t>Question 8</t>
  </si>
  <si>
    <t>A customer will get a discount if: Customer Type = “Premium” OR Purchase Amount is greater than 10,000 Display “Discount” or “No Discount”.</t>
  </si>
  <si>
    <t>Purchase Amount</t>
  </si>
  <si>
    <t>premium</t>
  </si>
  <si>
    <t>No Premium</t>
  </si>
  <si>
    <t>Discount/No Discount</t>
  </si>
  <si>
    <t>n applicant is selected if Interview Status = “Pass”OR Experience is greater than 5 years Display “Selected” or “Rejected”</t>
  </si>
  <si>
    <t>Question 9</t>
  </si>
  <si>
    <t>Selected/ Rejected</t>
  </si>
  <si>
    <t>ID</t>
  </si>
  <si>
    <t>Using VLOOKUP, find the marks of Student ID 102 from the given table.</t>
  </si>
  <si>
    <t>Question 10</t>
  </si>
  <si>
    <t>Question 11</t>
  </si>
  <si>
    <t>Using VLOOKUP, find the salary of Employee ID 115.</t>
  </si>
  <si>
    <t>Using VLOOKUP, find the department name using Employee ID</t>
  </si>
  <si>
    <t>Question 12</t>
  </si>
  <si>
    <t>Department</t>
  </si>
  <si>
    <t>Manager</t>
  </si>
  <si>
    <t>HR</t>
  </si>
  <si>
    <t>CEO</t>
  </si>
  <si>
    <t>DATA SCIENTIST</t>
  </si>
  <si>
    <t>Sales man</t>
  </si>
  <si>
    <t>Salaes man</t>
  </si>
  <si>
    <t>Months</t>
  </si>
  <si>
    <t>january</t>
  </si>
  <si>
    <t>april</t>
  </si>
  <si>
    <t>aprss</t>
  </si>
  <si>
    <t>apremiil</t>
  </si>
  <si>
    <t>march</t>
  </si>
  <si>
    <t>june</t>
  </si>
  <si>
    <t>august</t>
  </si>
  <si>
    <t>september</t>
  </si>
  <si>
    <t>november</t>
  </si>
  <si>
    <t>febuary</t>
  </si>
  <si>
    <t>Using HLOOKUP, find the attendance percentage of ID 110  for April</t>
  </si>
  <si>
    <t xml:space="preserve"> Nested IF Function Create a grading system: Marks ≥ 90 → Grade A Marks ≥ 75 → Grade B Marks ≥ 50 → Grade C Below 50 → Fail</t>
  </si>
  <si>
    <t>Question 13</t>
  </si>
  <si>
    <t>Question 14</t>
  </si>
  <si>
    <t>If Marks ≥ 90 AND Attendance ≥ 85 → Grade A If Marks ≥ 75 → Grade B If Marks ≥ 50 → Grade C If Sports = “Yes” OR NCC = “Yes” → Grace Pass Otherwise → Fail</t>
  </si>
  <si>
    <t>Create a salary grade: Salary ≥ 100000 → Grade A Salary ≥ 75000 → Grade B Salary ≥ 50000 → Grade C Salary ≥ 25000 → Grade D Otherwise → Grade E</t>
  </si>
  <si>
    <t>Question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</si>
</sst>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9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opLeftCell="A10" workbookViewId="0">
      <selection activeCell="B32" sqref="B32"/>
    </sheetView>
  </sheetViews>
  <sheetFormatPr defaultRowHeight="14.4" x14ac:dyDescent="0.3"/>
  <cols>
    <col min="1" max="1" width="40.33203125" bestFit="1" customWidth="1"/>
    <col min="2" max="2" width="6.21875" bestFit="1" customWidth="1"/>
    <col min="3" max="3" width="10.77734375" bestFit="1" customWidth="1"/>
    <col min="4" max="4" width="6.33203125" bestFit="1" customWidth="1"/>
    <col min="5" max="5" width="4.5546875" bestFit="1" customWidth="1"/>
    <col min="6" max="6" width="7" bestFit="1" customWidth="1"/>
    <col min="7" max="7" width="10.109375" bestFit="1" customWidth="1"/>
    <col min="8" max="8" width="7" bestFit="1" customWidth="1"/>
    <col min="9" max="9" width="5.21875" bestFit="1" customWidth="1"/>
    <col min="10" max="10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55</v>
      </c>
      <c r="C2">
        <v>80</v>
      </c>
      <c r="D2" t="s">
        <v>11</v>
      </c>
      <c r="E2" t="s">
        <v>12</v>
      </c>
      <c r="F2">
        <v>60000</v>
      </c>
      <c r="G2">
        <v>3</v>
      </c>
      <c r="H2">
        <v>45000</v>
      </c>
      <c r="I2">
        <v>760</v>
      </c>
    </row>
    <row r="3" spans="1:10" x14ac:dyDescent="0.3">
      <c r="A3" t="s">
        <v>13</v>
      </c>
      <c r="B3">
        <v>35</v>
      </c>
      <c r="C3">
        <v>70</v>
      </c>
      <c r="D3" t="s">
        <v>12</v>
      </c>
      <c r="E3" t="s">
        <v>11</v>
      </c>
      <c r="F3">
        <v>30000</v>
      </c>
      <c r="G3">
        <v>1</v>
      </c>
      <c r="H3">
        <v>25000</v>
      </c>
      <c r="I3">
        <v>650</v>
      </c>
    </row>
    <row r="4" spans="1:10" x14ac:dyDescent="0.3">
      <c r="A4" t="s">
        <v>14</v>
      </c>
      <c r="B4">
        <v>85</v>
      </c>
      <c r="C4">
        <v>90</v>
      </c>
      <c r="D4" t="s">
        <v>11</v>
      </c>
      <c r="E4" t="s">
        <v>11</v>
      </c>
      <c r="F4">
        <v>80000</v>
      </c>
      <c r="G4">
        <v>5</v>
      </c>
      <c r="H4">
        <v>70000</v>
      </c>
      <c r="I4">
        <v>820</v>
      </c>
    </row>
    <row r="5" spans="1:10" x14ac:dyDescent="0.3">
      <c r="A5" t="s">
        <v>15</v>
      </c>
      <c r="B5">
        <v>45</v>
      </c>
      <c r="C5">
        <v>60</v>
      </c>
      <c r="D5" t="s">
        <v>12</v>
      </c>
      <c r="E5" t="s">
        <v>12</v>
      </c>
      <c r="F5">
        <v>40000</v>
      </c>
      <c r="G5">
        <v>2</v>
      </c>
      <c r="H5">
        <v>32000</v>
      </c>
      <c r="I5">
        <v>720</v>
      </c>
    </row>
    <row r="6" spans="1:10" x14ac:dyDescent="0.3">
      <c r="A6" t="s">
        <v>16</v>
      </c>
      <c r="B6">
        <v>95</v>
      </c>
      <c r="C6">
        <v>98</v>
      </c>
      <c r="D6" t="s">
        <v>11</v>
      </c>
      <c r="E6" t="s">
        <v>12</v>
      </c>
      <c r="F6">
        <v>100000</v>
      </c>
      <c r="G6">
        <v>8</v>
      </c>
      <c r="H6">
        <v>90000</v>
      </c>
      <c r="I6">
        <v>900</v>
      </c>
    </row>
    <row r="7" spans="1:10" x14ac:dyDescent="0.3">
      <c r="A7" t="s">
        <v>17</v>
      </c>
      <c r="B7">
        <v>65</v>
      </c>
      <c r="C7">
        <v>85</v>
      </c>
      <c r="D7" t="s">
        <v>12</v>
      </c>
      <c r="E7" t="s">
        <v>11</v>
      </c>
      <c r="F7">
        <v>55000</v>
      </c>
      <c r="G7">
        <v>4</v>
      </c>
      <c r="H7">
        <v>50000</v>
      </c>
      <c r="I7">
        <v>780</v>
      </c>
    </row>
    <row r="8" spans="1:10" x14ac:dyDescent="0.3">
      <c r="A8" t="s">
        <v>18</v>
      </c>
      <c r="B8">
        <v>50</v>
      </c>
      <c r="C8">
        <v>75</v>
      </c>
      <c r="D8" t="s">
        <v>11</v>
      </c>
      <c r="E8" t="s">
        <v>12</v>
      </c>
      <c r="F8">
        <v>45000</v>
      </c>
      <c r="G8">
        <v>3</v>
      </c>
      <c r="H8">
        <v>38000</v>
      </c>
      <c r="I8">
        <v>700</v>
      </c>
    </row>
    <row r="9" spans="1:10" x14ac:dyDescent="0.3">
      <c r="A9" t="s">
        <v>19</v>
      </c>
      <c r="B9">
        <v>25</v>
      </c>
      <c r="C9">
        <v>55</v>
      </c>
      <c r="D9" t="s">
        <v>12</v>
      </c>
      <c r="E9" t="s">
        <v>12</v>
      </c>
      <c r="F9">
        <v>20000</v>
      </c>
      <c r="G9">
        <v>1</v>
      </c>
      <c r="H9">
        <v>22000</v>
      </c>
      <c r="I9">
        <v>600</v>
      </c>
    </row>
    <row r="10" spans="1:10" x14ac:dyDescent="0.3">
      <c r="A10" t="s">
        <v>20</v>
      </c>
      <c r="B10">
        <v>77</v>
      </c>
      <c r="C10">
        <v>88</v>
      </c>
      <c r="D10" t="s">
        <v>11</v>
      </c>
      <c r="E10" t="s">
        <v>11</v>
      </c>
      <c r="F10">
        <v>62000</v>
      </c>
      <c r="G10">
        <v>6</v>
      </c>
      <c r="H10">
        <v>65000</v>
      </c>
      <c r="I10">
        <v>810</v>
      </c>
    </row>
    <row r="11" spans="1:10" x14ac:dyDescent="0.3">
      <c r="A11" t="s">
        <v>21</v>
      </c>
      <c r="B11">
        <v>89</v>
      </c>
      <c r="C11">
        <v>92</v>
      </c>
      <c r="D11" t="s">
        <v>12</v>
      </c>
      <c r="E11" t="s">
        <v>11</v>
      </c>
      <c r="F11">
        <v>75000</v>
      </c>
      <c r="G11">
        <v>7</v>
      </c>
      <c r="H11">
        <v>80000</v>
      </c>
      <c r="I11">
        <v>850</v>
      </c>
    </row>
    <row r="12" spans="1:10" x14ac:dyDescent="0.3">
      <c r="A12" t="s">
        <v>22</v>
      </c>
      <c r="B12">
        <v>48</v>
      </c>
      <c r="C12">
        <v>76</v>
      </c>
      <c r="D12" t="s">
        <v>11</v>
      </c>
      <c r="E12" t="s">
        <v>12</v>
      </c>
      <c r="F12">
        <v>47000</v>
      </c>
      <c r="G12">
        <v>2</v>
      </c>
      <c r="H12">
        <v>41000</v>
      </c>
      <c r="I12">
        <v>710</v>
      </c>
    </row>
    <row r="13" spans="1:10" x14ac:dyDescent="0.3">
      <c r="A13" t="s">
        <v>23</v>
      </c>
      <c r="B13">
        <v>91</v>
      </c>
      <c r="C13">
        <v>95</v>
      </c>
      <c r="D13" t="s">
        <v>12</v>
      </c>
      <c r="E13" t="s">
        <v>12</v>
      </c>
      <c r="F13">
        <v>98000</v>
      </c>
      <c r="G13">
        <v>9</v>
      </c>
      <c r="H13">
        <v>95000</v>
      </c>
      <c r="I13">
        <v>920</v>
      </c>
    </row>
    <row r="14" spans="1:10" x14ac:dyDescent="0.3">
      <c r="A14" t="s">
        <v>24</v>
      </c>
      <c r="B14">
        <v>38</v>
      </c>
      <c r="C14">
        <v>68</v>
      </c>
      <c r="D14" t="s">
        <v>11</v>
      </c>
      <c r="E14" t="s">
        <v>11</v>
      </c>
      <c r="F14">
        <v>28000</v>
      </c>
      <c r="G14">
        <v>1</v>
      </c>
      <c r="H14">
        <v>27000</v>
      </c>
      <c r="I14">
        <v>640</v>
      </c>
    </row>
    <row r="15" spans="1:10" x14ac:dyDescent="0.3">
      <c r="A15" t="s">
        <v>25</v>
      </c>
      <c r="B15">
        <v>58</v>
      </c>
      <c r="C15">
        <v>82</v>
      </c>
      <c r="D15" t="s">
        <v>12</v>
      </c>
      <c r="E15" t="s">
        <v>12</v>
      </c>
      <c r="F15">
        <v>53000</v>
      </c>
      <c r="G15">
        <v>3</v>
      </c>
      <c r="H15">
        <v>46000</v>
      </c>
      <c r="I15">
        <v>760</v>
      </c>
    </row>
    <row r="16" spans="1:10" x14ac:dyDescent="0.3">
      <c r="A16" t="s">
        <v>26</v>
      </c>
      <c r="B16">
        <v>73</v>
      </c>
      <c r="C16">
        <v>79</v>
      </c>
      <c r="D16" t="s">
        <v>11</v>
      </c>
      <c r="E16" t="s">
        <v>12</v>
      </c>
      <c r="F16">
        <v>61000</v>
      </c>
      <c r="G16">
        <v>5</v>
      </c>
      <c r="H16">
        <v>58000</v>
      </c>
      <c r="I16">
        <v>790</v>
      </c>
    </row>
    <row r="17" spans="1:9" x14ac:dyDescent="0.3">
      <c r="A17" t="s">
        <v>27</v>
      </c>
      <c r="B17">
        <v>99</v>
      </c>
      <c r="C17">
        <v>99</v>
      </c>
      <c r="D17" t="s">
        <v>11</v>
      </c>
      <c r="E17" t="s">
        <v>11</v>
      </c>
      <c r="F17">
        <v>120000</v>
      </c>
      <c r="G17">
        <v>10</v>
      </c>
      <c r="H17">
        <v>110000</v>
      </c>
      <c r="I17">
        <v>950</v>
      </c>
    </row>
    <row r="18" spans="1:9" x14ac:dyDescent="0.3">
      <c r="A18" t="s">
        <v>28</v>
      </c>
      <c r="B18">
        <v>42</v>
      </c>
      <c r="C18">
        <v>74</v>
      </c>
      <c r="D18" t="s">
        <v>12</v>
      </c>
      <c r="E18" t="s">
        <v>11</v>
      </c>
      <c r="F18">
        <v>36000</v>
      </c>
      <c r="G18">
        <v>2</v>
      </c>
      <c r="H18">
        <v>33000</v>
      </c>
      <c r="I18">
        <v>680</v>
      </c>
    </row>
    <row r="19" spans="1:9" x14ac:dyDescent="0.3">
      <c r="A19" t="s">
        <v>29</v>
      </c>
      <c r="B19">
        <v>67</v>
      </c>
      <c r="C19">
        <v>87</v>
      </c>
      <c r="D19" t="s">
        <v>11</v>
      </c>
      <c r="E19" t="s">
        <v>12</v>
      </c>
      <c r="F19">
        <v>59000</v>
      </c>
      <c r="G19">
        <v>4</v>
      </c>
      <c r="H19">
        <v>54000</v>
      </c>
      <c r="I19">
        <v>770</v>
      </c>
    </row>
    <row r="20" spans="1:9" x14ac:dyDescent="0.3">
      <c r="A20" t="s">
        <v>30</v>
      </c>
      <c r="B20">
        <v>81</v>
      </c>
      <c r="C20">
        <v>91</v>
      </c>
      <c r="D20" t="s">
        <v>12</v>
      </c>
      <c r="E20" t="s">
        <v>11</v>
      </c>
      <c r="F20">
        <v>83000</v>
      </c>
      <c r="G20">
        <v>6</v>
      </c>
      <c r="H20">
        <v>85000</v>
      </c>
      <c r="I20">
        <v>860</v>
      </c>
    </row>
    <row r="21" spans="1:9" x14ac:dyDescent="0.3">
      <c r="A21" t="s">
        <v>31</v>
      </c>
      <c r="B21">
        <v>29</v>
      </c>
      <c r="C21">
        <v>50</v>
      </c>
      <c r="D21" t="s">
        <v>12</v>
      </c>
      <c r="E21" t="s">
        <v>12</v>
      </c>
      <c r="F21">
        <v>15000</v>
      </c>
      <c r="G21">
        <v>0</v>
      </c>
      <c r="H21">
        <v>18000</v>
      </c>
      <c r="I21">
        <v>550</v>
      </c>
    </row>
    <row r="25" spans="1:9" x14ac:dyDescent="0.3">
      <c r="A25" s="1" t="s">
        <v>32</v>
      </c>
    </row>
    <row r="27" spans="1:9" x14ac:dyDescent="0.3">
      <c r="A27" t="s">
        <v>33</v>
      </c>
      <c r="B27" t="str">
        <f>IF(B2&gt;=40,"Pass","Fail")</f>
        <v>Pass</v>
      </c>
    </row>
    <row r="28" spans="1:9" x14ac:dyDescent="0.3">
      <c r="A28" t="s">
        <v>34</v>
      </c>
      <c r="B28" t="str">
        <f>IF(AND(B2&gt;=40,C2&gt;=75),"Pass","Fail")</f>
        <v>Pass</v>
      </c>
    </row>
    <row r="29" spans="1:9" x14ac:dyDescent="0.3">
      <c r="A29" t="s">
        <v>35</v>
      </c>
      <c r="B29" t="str">
        <f>IF(OR(D2="Yes",E2="Yes"),"Grace","No Grace")</f>
        <v>Grace</v>
      </c>
    </row>
    <row r="30" spans="1:9" x14ac:dyDescent="0.3">
      <c r="A30" t="s">
        <v>36</v>
      </c>
      <c r="B30" t="str">
        <f>IF(B2&gt;=90,"A",IF(B2&gt;=75,"B",IF(B2&gt;=50,"C","Fail")))</f>
        <v>C</v>
      </c>
    </row>
    <row r="31" spans="1:9" x14ac:dyDescent="0.3">
      <c r="A31" t="s">
        <v>37</v>
      </c>
      <c r="B31" t="str">
        <f>IF(B2&gt;=90,"A",IF(B2&gt;=75,"B",IF(B2&gt;=50,"C",IF(B2&gt;=40,"D","Fail"))))</f>
        <v>C</v>
      </c>
    </row>
    <row r="32" spans="1:9" x14ac:dyDescent="0.3">
      <c r="A32" t="s">
        <v>38</v>
      </c>
      <c r="B32" t="str">
        <f>IF(AND(B2&gt;=40,C2&gt;=75),"Pass",IF(OR(D2="Yes",E2="Yes"),"Grace","Fail"))</f>
        <v>Pass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3C02-0E53-4622-822D-3DD743EAC87E}">
  <dimension ref="A1:X60"/>
  <sheetViews>
    <sheetView tabSelected="1" zoomScale="90" zoomScaleNormal="90" workbookViewId="0">
      <pane xSplit="15" ySplit="1" topLeftCell="P15" activePane="bottomRight" state="frozen"/>
      <selection pane="topRight" activeCell="M1" sqref="M1"/>
      <selection pane="bottomLeft" activeCell="A2" sqref="A2"/>
      <selection pane="bottomRight" activeCell="C28" sqref="C28:M28"/>
    </sheetView>
  </sheetViews>
  <sheetFormatPr defaultRowHeight="13.8" x14ac:dyDescent="0.3"/>
  <cols>
    <col min="1" max="1" width="4" style="5" bestFit="1" customWidth="1"/>
    <col min="2" max="2" width="5.88671875" style="5" bestFit="1" customWidth="1"/>
    <col min="3" max="4" width="11.5546875" style="5" customWidth="1"/>
    <col min="5" max="5" width="6" style="5" bestFit="1" customWidth="1"/>
    <col min="6" max="6" width="4.21875" style="5" bestFit="1" customWidth="1"/>
    <col min="7" max="7" width="7" style="5" bestFit="1" customWidth="1"/>
    <col min="8" max="8" width="9.6640625" style="5" bestFit="1" customWidth="1"/>
    <col min="9" max="9" width="7" style="5" bestFit="1" customWidth="1"/>
    <col min="10" max="10" width="13.33203125" style="5" bestFit="1" customWidth="1"/>
    <col min="11" max="11" width="4" style="5" bestFit="1" customWidth="1"/>
    <col min="12" max="12" width="13.33203125" style="5" bestFit="1" customWidth="1"/>
    <col min="13" max="13" width="5" style="5" bestFit="1" customWidth="1"/>
    <col min="14" max="14" width="12.6640625" style="5" bestFit="1" customWidth="1"/>
    <col min="15" max="15" width="15" style="5" bestFit="1" customWidth="1"/>
    <col min="16" max="16" width="7.88671875" style="5" bestFit="1" customWidth="1"/>
    <col min="17" max="17" width="10.5546875" style="5" bestFit="1" customWidth="1"/>
    <col min="18" max="18" width="27.33203125" style="5" bestFit="1" customWidth="1"/>
    <col min="19" max="19" width="6" style="5" bestFit="1" customWidth="1"/>
    <col min="20" max="20" width="15.21875" style="5" bestFit="1" customWidth="1"/>
    <col min="21" max="21" width="25.88671875" style="5" bestFit="1" customWidth="1"/>
    <col min="22" max="22" width="10.88671875" style="5" bestFit="1" customWidth="1"/>
    <col min="23" max="23" width="18.44140625" style="5" bestFit="1" customWidth="1"/>
    <col min="24" max="24" width="16.109375" style="5" bestFit="1" customWidth="1"/>
    <col min="25" max="16384" width="8.88671875" style="5"/>
  </cols>
  <sheetData>
    <row r="1" spans="1:24" ht="30.6" customHeight="1" x14ac:dyDescent="0.3">
      <c r="A1" s="3" t="s">
        <v>74</v>
      </c>
      <c r="B1" s="3" t="s">
        <v>1</v>
      </c>
      <c r="C1" s="3" t="s">
        <v>2</v>
      </c>
      <c r="D1" s="3" t="s">
        <v>88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81</v>
      </c>
      <c r="K1" s="3" t="s">
        <v>58</v>
      </c>
      <c r="L1" s="3" t="s">
        <v>59</v>
      </c>
      <c r="M1" s="3" t="s">
        <v>8</v>
      </c>
      <c r="N1" s="3" t="s">
        <v>64</v>
      </c>
      <c r="O1" s="3" t="s">
        <v>67</v>
      </c>
      <c r="P1" s="4" t="s">
        <v>47</v>
      </c>
      <c r="Q1" s="4" t="s">
        <v>48</v>
      </c>
      <c r="R1" s="4" t="s">
        <v>49</v>
      </c>
      <c r="S1" s="4" t="s">
        <v>51</v>
      </c>
      <c r="T1" s="4" t="s">
        <v>54</v>
      </c>
      <c r="U1" s="4" t="s">
        <v>57</v>
      </c>
      <c r="V1" s="4" t="s">
        <v>63</v>
      </c>
      <c r="W1" s="4" t="s">
        <v>70</v>
      </c>
      <c r="X1" s="4" t="s">
        <v>73</v>
      </c>
    </row>
    <row r="2" spans="1:24" x14ac:dyDescent="0.3">
      <c r="A2" s="6">
        <v>101</v>
      </c>
      <c r="B2" s="6">
        <v>55</v>
      </c>
      <c r="C2" s="6">
        <v>80</v>
      </c>
      <c r="D2" s="6" t="s">
        <v>89</v>
      </c>
      <c r="E2" s="6" t="s">
        <v>11</v>
      </c>
      <c r="F2" s="6" t="s">
        <v>12</v>
      </c>
      <c r="G2" s="6">
        <v>60000</v>
      </c>
      <c r="H2" s="6">
        <v>3</v>
      </c>
      <c r="I2" s="6">
        <v>45000</v>
      </c>
      <c r="J2" s="6" t="s">
        <v>82</v>
      </c>
      <c r="K2" s="6">
        <v>15</v>
      </c>
      <c r="L2" s="6" t="s">
        <v>11</v>
      </c>
      <c r="M2" s="6">
        <v>760</v>
      </c>
      <c r="N2" s="6" t="s">
        <v>68</v>
      </c>
      <c r="O2" s="6">
        <v>12374</v>
      </c>
      <c r="P2" s="7" t="str">
        <f>IF(B2&gt;=40,"pass","fail")</f>
        <v>pass</v>
      </c>
      <c r="Q2" s="7" t="str">
        <f>IF(I2&gt;=50000,"High Salary","Low Salary")</f>
        <v>Low Salary</v>
      </c>
      <c r="R2" s="7" t="str">
        <f>IF(C2&gt;=75,"Eligible", "Not Eligible")</f>
        <v>Eligible</v>
      </c>
      <c r="S2" s="7" t="str">
        <f>IF(AND(B2&gt;=40,C2&gt;=75), "Good","Bad")</f>
        <v>Good</v>
      </c>
      <c r="T2" s="7" t="str">
        <f>IF(AND(G2&gt;=50000, H2&gt;=3),"Bonus","No Bonus")</f>
        <v>Bonus</v>
      </c>
      <c r="U2" s="7" t="str">
        <f>IF(AND(K2&gt;=18,L2="Yes"),"Eligible","Not Eligible")</f>
        <v>Not Eligible</v>
      </c>
      <c r="V2" s="7" t="str">
        <f>IF(OR(E2="Yes", F2="Yes"),"Grace","No Grace")</f>
        <v>Grace</v>
      </c>
      <c r="W2" s="7" t="str">
        <f>IF(OR(N2="premium",O2&gt;=10000),"DISCOUNT","NO DISCOUNT")</f>
        <v>DISCOUNT</v>
      </c>
      <c r="X2" s="7" t="str">
        <f>IF(OR(U2="Eligible",H2&gt;=5),"SLECTED","NOT SLECTED")</f>
        <v>NOT SLECTED</v>
      </c>
    </row>
    <row r="3" spans="1:24" x14ac:dyDescent="0.3">
      <c r="A3" s="6">
        <f>A2+1</f>
        <v>102</v>
      </c>
      <c r="B3" s="6">
        <v>35</v>
      </c>
      <c r="C3" s="6">
        <v>70</v>
      </c>
      <c r="D3" s="6" t="s">
        <v>90</v>
      </c>
      <c r="E3" s="6" t="s">
        <v>12</v>
      </c>
      <c r="F3" s="6" t="s">
        <v>11</v>
      </c>
      <c r="G3" s="6">
        <v>30000</v>
      </c>
      <c r="H3" s="6">
        <v>1</v>
      </c>
      <c r="I3" s="6">
        <v>25000</v>
      </c>
      <c r="J3" s="6" t="s">
        <v>83</v>
      </c>
      <c r="K3" s="6">
        <v>17</v>
      </c>
      <c r="L3" s="6" t="s">
        <v>12</v>
      </c>
      <c r="M3" s="6">
        <v>650</v>
      </c>
      <c r="N3" s="6" t="s">
        <v>69</v>
      </c>
      <c r="O3" s="6">
        <v>10004</v>
      </c>
      <c r="P3" s="7" t="str">
        <f t="shared" ref="P3:P24" si="0">IF(B3&gt;=40,"pass","fail")</f>
        <v>fail</v>
      </c>
      <c r="Q3" s="7" t="str">
        <f t="shared" ref="Q3:Q21" si="1">IF(I3&gt;=50000,"High Salary","Low Salary")</f>
        <v>Low Salary</v>
      </c>
      <c r="R3" s="7" t="str">
        <f t="shared" ref="R3:R21" si="2">IF(C3&gt;=75,"Eligible", "Not Eligible")</f>
        <v>Not Eligible</v>
      </c>
      <c r="S3" s="7" t="str">
        <f t="shared" ref="S3:S21" si="3">IF(AND(B3&gt;=40,C3&gt;=75), "Good","Bad")</f>
        <v>Bad</v>
      </c>
      <c r="T3" s="7" t="str">
        <f t="shared" ref="T3:T21" si="4">IF(AND(G3&gt;=50000, H3&gt;=3),"Bonus","No Bonus")</f>
        <v>No Bonus</v>
      </c>
      <c r="U3" s="7" t="str">
        <f t="shared" ref="U3:U21" si="5">IF(AND(K3&gt;=18,L3="Yes"),"Eligible","Not Eligible")</f>
        <v>Not Eligible</v>
      </c>
      <c r="V3" s="7" t="str">
        <f>IF(OR(E3="Yes", F3="Yes"),"Grace","No Grace")</f>
        <v>Grace</v>
      </c>
      <c r="W3" s="7" t="str">
        <f t="shared" ref="W3:W21" si="6">IF(OR(N3="premium",O3&gt;=10000),"DISCOUNT","NO DISCOUNT")</f>
        <v>DISCOUNT</v>
      </c>
      <c r="X3" s="7" t="str">
        <f t="shared" ref="X3:X21" si="7">IF(OR(U3="Eligible",H3&gt;=5),"SLECTED","NOT SLECTED")</f>
        <v>NOT SLECTED</v>
      </c>
    </row>
    <row r="4" spans="1:24" x14ac:dyDescent="0.3">
      <c r="A4" s="6">
        <f t="shared" ref="A4:A21" si="8">A3+1</f>
        <v>103</v>
      </c>
      <c r="B4" s="6">
        <v>85</v>
      </c>
      <c r="C4" s="6">
        <v>90</v>
      </c>
      <c r="D4" s="6" t="s">
        <v>93</v>
      </c>
      <c r="E4" s="6" t="s">
        <v>11</v>
      </c>
      <c r="F4" s="6" t="s">
        <v>11</v>
      </c>
      <c r="G4" s="6">
        <v>80000</v>
      </c>
      <c r="H4" s="6">
        <v>5</v>
      </c>
      <c r="I4" s="6">
        <v>70000</v>
      </c>
      <c r="J4" s="6" t="s">
        <v>82</v>
      </c>
      <c r="K4" s="6">
        <v>18</v>
      </c>
      <c r="L4" s="6" t="s">
        <v>11</v>
      </c>
      <c r="M4" s="6">
        <v>820</v>
      </c>
      <c r="N4" s="6" t="s">
        <v>68</v>
      </c>
      <c r="O4" s="6">
        <v>20521</v>
      </c>
      <c r="P4" s="7" t="str">
        <f t="shared" si="0"/>
        <v>pass</v>
      </c>
      <c r="Q4" s="7" t="str">
        <f t="shared" si="1"/>
        <v>High Salary</v>
      </c>
      <c r="R4" s="7" t="str">
        <f t="shared" si="2"/>
        <v>Eligible</v>
      </c>
      <c r="S4" s="7" t="str">
        <f t="shared" si="3"/>
        <v>Good</v>
      </c>
      <c r="T4" s="7" t="str">
        <f t="shared" si="4"/>
        <v>Bonus</v>
      </c>
      <c r="U4" s="7" t="str">
        <f t="shared" si="5"/>
        <v>Eligible</v>
      </c>
      <c r="V4" s="7" t="str">
        <f>IF(OR(E4="Yes", F4="Yes"),"Grace","No Grace")</f>
        <v>Grace</v>
      </c>
      <c r="W4" s="7" t="str">
        <f t="shared" si="6"/>
        <v>DISCOUNT</v>
      </c>
      <c r="X4" s="7" t="str">
        <f t="shared" si="7"/>
        <v>SLECTED</v>
      </c>
    </row>
    <row r="5" spans="1:24" x14ac:dyDescent="0.3">
      <c r="A5" s="6">
        <f t="shared" si="8"/>
        <v>104</v>
      </c>
      <c r="B5" s="6">
        <v>45</v>
      </c>
      <c r="C5" s="6">
        <v>60</v>
      </c>
      <c r="D5" s="6" t="s">
        <v>91</v>
      </c>
      <c r="E5" s="6" t="s">
        <v>12</v>
      </c>
      <c r="F5" s="6" t="s">
        <v>12</v>
      </c>
      <c r="G5" s="6">
        <v>40000</v>
      </c>
      <c r="H5" s="6">
        <v>2</v>
      </c>
      <c r="I5" s="6">
        <v>32000</v>
      </c>
      <c r="J5" s="6" t="s">
        <v>83</v>
      </c>
      <c r="K5" s="6">
        <v>24</v>
      </c>
      <c r="L5" s="6" t="s">
        <v>12</v>
      </c>
      <c r="M5" s="6">
        <v>720</v>
      </c>
      <c r="N5" s="6" t="s">
        <v>69</v>
      </c>
      <c r="O5" s="6">
        <v>20891</v>
      </c>
      <c r="P5" s="7" t="str">
        <f t="shared" si="0"/>
        <v>pass</v>
      </c>
      <c r="Q5" s="7" t="str">
        <f t="shared" si="1"/>
        <v>Low Salary</v>
      </c>
      <c r="R5" s="7" t="str">
        <f t="shared" si="2"/>
        <v>Not Eligible</v>
      </c>
      <c r="S5" s="7" t="str">
        <f t="shared" si="3"/>
        <v>Bad</v>
      </c>
      <c r="T5" s="7" t="str">
        <f t="shared" si="4"/>
        <v>No Bonus</v>
      </c>
      <c r="U5" s="7" t="str">
        <f t="shared" si="5"/>
        <v>Not Eligible</v>
      </c>
      <c r="V5" s="7" t="str">
        <f>IF(OR(E5="Yes", F5="Yes"),"Grace","No Grace")</f>
        <v>No Grace</v>
      </c>
      <c r="W5" s="7" t="str">
        <f t="shared" si="6"/>
        <v>DISCOUNT</v>
      </c>
      <c r="X5" s="7" t="str">
        <f t="shared" si="7"/>
        <v>NOT SLECTED</v>
      </c>
    </row>
    <row r="6" spans="1:24" x14ac:dyDescent="0.3">
      <c r="A6" s="6">
        <f t="shared" si="8"/>
        <v>105</v>
      </c>
      <c r="B6" s="6">
        <v>95</v>
      </c>
      <c r="C6" s="6">
        <v>98</v>
      </c>
      <c r="D6" s="6" t="s">
        <v>93</v>
      </c>
      <c r="E6" s="6" t="s">
        <v>11</v>
      </c>
      <c r="F6" s="6" t="s">
        <v>12</v>
      </c>
      <c r="G6" s="6">
        <v>100000</v>
      </c>
      <c r="H6" s="6">
        <v>8</v>
      </c>
      <c r="I6" s="6">
        <v>90000</v>
      </c>
      <c r="J6" s="6" t="s">
        <v>82</v>
      </c>
      <c r="K6" s="6">
        <v>30</v>
      </c>
      <c r="L6" s="6" t="s">
        <v>11</v>
      </c>
      <c r="M6" s="6">
        <v>900</v>
      </c>
      <c r="N6" s="6" t="s">
        <v>68</v>
      </c>
      <c r="O6" s="6">
        <v>8077</v>
      </c>
      <c r="P6" s="7" t="str">
        <f t="shared" si="0"/>
        <v>pass</v>
      </c>
      <c r="Q6" s="7" t="str">
        <f t="shared" si="1"/>
        <v>High Salary</v>
      </c>
      <c r="R6" s="7" t="str">
        <f t="shared" si="2"/>
        <v>Eligible</v>
      </c>
      <c r="S6" s="7" t="str">
        <f t="shared" si="3"/>
        <v>Good</v>
      </c>
      <c r="T6" s="7" t="str">
        <f t="shared" si="4"/>
        <v>Bonus</v>
      </c>
      <c r="U6" s="7" t="str">
        <f t="shared" si="5"/>
        <v>Eligible</v>
      </c>
      <c r="V6" s="7" t="str">
        <f>IF(OR(E6="Yes", F6="Yes"),"Grace","No Grace")</f>
        <v>Grace</v>
      </c>
      <c r="W6" s="7" t="str">
        <f t="shared" si="6"/>
        <v>DISCOUNT</v>
      </c>
      <c r="X6" s="7" t="str">
        <f t="shared" si="7"/>
        <v>SLECTED</v>
      </c>
    </row>
    <row r="7" spans="1:24" x14ac:dyDescent="0.3">
      <c r="A7" s="6">
        <f t="shared" si="8"/>
        <v>106</v>
      </c>
      <c r="B7" s="6">
        <v>65</v>
      </c>
      <c r="C7" s="6">
        <v>85</v>
      </c>
      <c r="D7" s="6" t="s">
        <v>89</v>
      </c>
      <c r="E7" s="6" t="s">
        <v>12</v>
      </c>
      <c r="F7" s="6" t="s">
        <v>11</v>
      </c>
      <c r="G7" s="6">
        <v>55000</v>
      </c>
      <c r="H7" s="6">
        <v>4</v>
      </c>
      <c r="I7" s="6">
        <v>50000</v>
      </c>
      <c r="J7" s="6" t="s">
        <v>84</v>
      </c>
      <c r="K7" s="6">
        <v>18</v>
      </c>
      <c r="L7" s="6" t="s">
        <v>12</v>
      </c>
      <c r="M7" s="6">
        <v>780</v>
      </c>
      <c r="N7" s="6" t="s">
        <v>69</v>
      </c>
      <c r="O7" s="6">
        <v>9265</v>
      </c>
      <c r="P7" s="7" t="str">
        <f t="shared" si="0"/>
        <v>pass</v>
      </c>
      <c r="Q7" s="7" t="str">
        <f t="shared" si="1"/>
        <v>High Salary</v>
      </c>
      <c r="R7" s="7" t="str">
        <f t="shared" si="2"/>
        <v>Eligible</v>
      </c>
      <c r="S7" s="7" t="str">
        <f t="shared" si="3"/>
        <v>Good</v>
      </c>
      <c r="T7" s="7" t="str">
        <f t="shared" si="4"/>
        <v>Bonus</v>
      </c>
      <c r="U7" s="7" t="str">
        <f t="shared" si="5"/>
        <v>Not Eligible</v>
      </c>
      <c r="V7" s="7" t="str">
        <f>IF(OR(E7="Yes", F7="Yes"),"Grace","No Grace")</f>
        <v>Grace</v>
      </c>
      <c r="W7" s="7" t="str">
        <f t="shared" si="6"/>
        <v>NO DISCOUNT</v>
      </c>
      <c r="X7" s="7" t="str">
        <f t="shared" si="7"/>
        <v>NOT SLECTED</v>
      </c>
    </row>
    <row r="8" spans="1:24" x14ac:dyDescent="0.3">
      <c r="A8" s="6">
        <f t="shared" si="8"/>
        <v>107</v>
      </c>
      <c r="B8" s="6">
        <v>50</v>
      </c>
      <c r="C8" s="6">
        <v>75</v>
      </c>
      <c r="D8" s="6" t="s">
        <v>93</v>
      </c>
      <c r="E8" s="6" t="s">
        <v>11</v>
      </c>
      <c r="F8" s="6" t="s">
        <v>12</v>
      </c>
      <c r="G8" s="6">
        <v>45000</v>
      </c>
      <c r="H8" s="6">
        <v>3</v>
      </c>
      <c r="I8" s="6">
        <v>38000</v>
      </c>
      <c r="J8" s="6" t="s">
        <v>82</v>
      </c>
      <c r="K8" s="6">
        <v>23</v>
      </c>
      <c r="L8" s="6" t="s">
        <v>11</v>
      </c>
      <c r="M8" s="6">
        <v>700</v>
      </c>
      <c r="N8" s="6" t="s">
        <v>68</v>
      </c>
      <c r="O8" s="6">
        <v>11095</v>
      </c>
      <c r="P8" s="7" t="str">
        <f t="shared" si="0"/>
        <v>pass</v>
      </c>
      <c r="Q8" s="7" t="str">
        <f t="shared" si="1"/>
        <v>Low Salary</v>
      </c>
      <c r="R8" s="7" t="str">
        <f t="shared" si="2"/>
        <v>Eligible</v>
      </c>
      <c r="S8" s="7" t="str">
        <f t="shared" si="3"/>
        <v>Good</v>
      </c>
      <c r="T8" s="7" t="str">
        <f t="shared" si="4"/>
        <v>No Bonus</v>
      </c>
      <c r="U8" s="7" t="str">
        <f t="shared" si="5"/>
        <v>Eligible</v>
      </c>
      <c r="V8" s="7" t="str">
        <f>IF(OR(E8="Yes", F8="Yes"),"Grace","No Grace")</f>
        <v>Grace</v>
      </c>
      <c r="W8" s="7" t="str">
        <f t="shared" si="6"/>
        <v>DISCOUNT</v>
      </c>
      <c r="X8" s="7" t="str">
        <f t="shared" si="7"/>
        <v>SLECTED</v>
      </c>
    </row>
    <row r="9" spans="1:24" x14ac:dyDescent="0.3">
      <c r="A9" s="6">
        <f t="shared" si="8"/>
        <v>108</v>
      </c>
      <c r="B9" s="6">
        <v>25</v>
      </c>
      <c r="C9" s="6">
        <v>55</v>
      </c>
      <c r="D9" s="6" t="s">
        <v>90</v>
      </c>
      <c r="E9" s="6" t="s">
        <v>12</v>
      </c>
      <c r="F9" s="6" t="s">
        <v>12</v>
      </c>
      <c r="G9" s="6">
        <v>20000</v>
      </c>
      <c r="H9" s="6">
        <v>1</v>
      </c>
      <c r="I9" s="6">
        <v>22000</v>
      </c>
      <c r="J9" s="6" t="s">
        <v>83</v>
      </c>
      <c r="K9" s="6">
        <v>16</v>
      </c>
      <c r="L9" s="6" t="s">
        <v>12</v>
      </c>
      <c r="M9" s="6">
        <v>600</v>
      </c>
      <c r="N9" s="6" t="s">
        <v>69</v>
      </c>
      <c r="O9" s="6">
        <v>20354</v>
      </c>
      <c r="P9" s="7" t="str">
        <f t="shared" si="0"/>
        <v>fail</v>
      </c>
      <c r="Q9" s="7" t="str">
        <f t="shared" si="1"/>
        <v>Low Salary</v>
      </c>
      <c r="R9" s="7" t="str">
        <f t="shared" si="2"/>
        <v>Not Eligible</v>
      </c>
      <c r="S9" s="7" t="str">
        <f t="shared" si="3"/>
        <v>Bad</v>
      </c>
      <c r="T9" s="7" t="str">
        <f t="shared" si="4"/>
        <v>No Bonus</v>
      </c>
      <c r="U9" s="7" t="str">
        <f t="shared" si="5"/>
        <v>Not Eligible</v>
      </c>
      <c r="V9" s="7" t="str">
        <f>IF(OR(E9="Yes", F9="Yes"),"Grace","No Grace")</f>
        <v>No Grace</v>
      </c>
      <c r="W9" s="7" t="str">
        <f t="shared" si="6"/>
        <v>DISCOUNT</v>
      </c>
      <c r="X9" s="7" t="str">
        <f t="shared" si="7"/>
        <v>NOT SLECTED</v>
      </c>
    </row>
    <row r="10" spans="1:24" x14ac:dyDescent="0.3">
      <c r="A10" s="6">
        <f t="shared" si="8"/>
        <v>109</v>
      </c>
      <c r="B10" s="6">
        <v>77</v>
      </c>
      <c r="C10" s="6">
        <v>88</v>
      </c>
      <c r="D10" s="6" t="s">
        <v>93</v>
      </c>
      <c r="E10" s="6" t="s">
        <v>11</v>
      </c>
      <c r="F10" s="6" t="s">
        <v>11</v>
      </c>
      <c r="G10" s="6">
        <v>62000</v>
      </c>
      <c r="H10" s="6">
        <v>6</v>
      </c>
      <c r="I10" s="6">
        <v>65000</v>
      </c>
      <c r="J10" s="6" t="s">
        <v>82</v>
      </c>
      <c r="K10" s="6">
        <v>27</v>
      </c>
      <c r="L10" s="6" t="s">
        <v>11</v>
      </c>
      <c r="M10" s="6">
        <v>810</v>
      </c>
      <c r="N10" s="6" t="s">
        <v>68</v>
      </c>
      <c r="O10" s="6">
        <v>16713</v>
      </c>
      <c r="P10" s="7" t="str">
        <f t="shared" si="0"/>
        <v>pass</v>
      </c>
      <c r="Q10" s="7" t="str">
        <f t="shared" si="1"/>
        <v>High Salary</v>
      </c>
      <c r="R10" s="7" t="str">
        <f t="shared" si="2"/>
        <v>Eligible</v>
      </c>
      <c r="S10" s="7" t="str">
        <f t="shared" si="3"/>
        <v>Good</v>
      </c>
      <c r="T10" s="7" t="str">
        <f t="shared" si="4"/>
        <v>Bonus</v>
      </c>
      <c r="U10" s="7" t="str">
        <f t="shared" si="5"/>
        <v>Eligible</v>
      </c>
      <c r="V10" s="7" t="str">
        <f>IF(OR(E10="Yes", F10="Yes"),"Grace","No Grace")</f>
        <v>Grace</v>
      </c>
      <c r="W10" s="7" t="str">
        <f t="shared" si="6"/>
        <v>DISCOUNT</v>
      </c>
      <c r="X10" s="7" t="str">
        <f t="shared" si="7"/>
        <v>SLECTED</v>
      </c>
    </row>
    <row r="11" spans="1:24" x14ac:dyDescent="0.3">
      <c r="A11" s="6">
        <f t="shared" si="8"/>
        <v>110</v>
      </c>
      <c r="B11" s="6">
        <v>89</v>
      </c>
      <c r="C11" s="6">
        <v>92</v>
      </c>
      <c r="D11" s="6" t="s">
        <v>94</v>
      </c>
      <c r="E11" s="6" t="s">
        <v>12</v>
      </c>
      <c r="F11" s="6" t="s">
        <v>11</v>
      </c>
      <c r="G11" s="6">
        <v>75000</v>
      </c>
      <c r="H11" s="6">
        <v>7</v>
      </c>
      <c r="I11" s="6">
        <v>80000</v>
      </c>
      <c r="J11" s="6" t="s">
        <v>85</v>
      </c>
      <c r="K11" s="6">
        <v>20</v>
      </c>
      <c r="L11" s="6" t="s">
        <v>12</v>
      </c>
      <c r="M11" s="6">
        <v>850</v>
      </c>
      <c r="N11" s="6" t="s">
        <v>69</v>
      </c>
      <c r="O11" s="6">
        <v>15999</v>
      </c>
      <c r="P11" s="7" t="str">
        <f t="shared" si="0"/>
        <v>pass</v>
      </c>
      <c r="Q11" s="7" t="str">
        <f t="shared" si="1"/>
        <v>High Salary</v>
      </c>
      <c r="R11" s="7" t="str">
        <f t="shared" si="2"/>
        <v>Eligible</v>
      </c>
      <c r="S11" s="7" t="str">
        <f t="shared" si="3"/>
        <v>Good</v>
      </c>
      <c r="T11" s="7" t="str">
        <f t="shared" si="4"/>
        <v>Bonus</v>
      </c>
      <c r="U11" s="7" t="str">
        <f t="shared" si="5"/>
        <v>Not Eligible</v>
      </c>
      <c r="V11" s="7" t="str">
        <f>IF(OR(E11="Yes", F11="Yes"),"Grace","No Grace")</f>
        <v>Grace</v>
      </c>
      <c r="W11" s="7" t="str">
        <f t="shared" si="6"/>
        <v>DISCOUNT</v>
      </c>
      <c r="X11" s="7" t="str">
        <f t="shared" si="7"/>
        <v>SLECTED</v>
      </c>
    </row>
    <row r="12" spans="1:24" x14ac:dyDescent="0.3">
      <c r="A12" s="6">
        <f t="shared" si="8"/>
        <v>111</v>
      </c>
      <c r="B12" s="6">
        <v>48</v>
      </c>
      <c r="C12" s="6">
        <v>76</v>
      </c>
      <c r="D12" s="6" t="s">
        <v>93</v>
      </c>
      <c r="E12" s="6" t="s">
        <v>11</v>
      </c>
      <c r="F12" s="6" t="s">
        <v>12</v>
      </c>
      <c r="G12" s="6">
        <v>47000</v>
      </c>
      <c r="H12" s="6">
        <v>2</v>
      </c>
      <c r="I12" s="6">
        <v>41000</v>
      </c>
      <c r="J12" s="6" t="s">
        <v>82</v>
      </c>
      <c r="K12" s="6">
        <v>20</v>
      </c>
      <c r="L12" s="6" t="s">
        <v>11</v>
      </c>
      <c r="M12" s="6">
        <v>710</v>
      </c>
      <c r="N12" s="6" t="s">
        <v>68</v>
      </c>
      <c r="O12" s="6">
        <v>10721</v>
      </c>
      <c r="P12" s="7" t="str">
        <f t="shared" si="0"/>
        <v>pass</v>
      </c>
      <c r="Q12" s="7" t="str">
        <f t="shared" si="1"/>
        <v>Low Salary</v>
      </c>
      <c r="R12" s="7" t="str">
        <f t="shared" si="2"/>
        <v>Eligible</v>
      </c>
      <c r="S12" s="7" t="str">
        <f t="shared" si="3"/>
        <v>Good</v>
      </c>
      <c r="T12" s="7" t="str">
        <f t="shared" si="4"/>
        <v>No Bonus</v>
      </c>
      <c r="U12" s="7" t="str">
        <f t="shared" si="5"/>
        <v>Eligible</v>
      </c>
      <c r="V12" s="7" t="str">
        <f>IF(OR(E12="Yes", F12="Yes"),"Grace","No Grace")</f>
        <v>Grace</v>
      </c>
      <c r="W12" s="7" t="str">
        <f t="shared" si="6"/>
        <v>DISCOUNT</v>
      </c>
      <c r="X12" s="7" t="str">
        <f t="shared" si="7"/>
        <v>SLECTED</v>
      </c>
    </row>
    <row r="13" spans="1:24" x14ac:dyDescent="0.3">
      <c r="A13" s="6">
        <f t="shared" si="8"/>
        <v>112</v>
      </c>
      <c r="B13" s="6">
        <v>91</v>
      </c>
      <c r="C13" s="6">
        <v>95</v>
      </c>
      <c r="D13" s="6" t="s">
        <v>95</v>
      </c>
      <c r="E13" s="6" t="s">
        <v>12</v>
      </c>
      <c r="F13" s="6" t="s">
        <v>12</v>
      </c>
      <c r="G13" s="6">
        <v>98000</v>
      </c>
      <c r="H13" s="6">
        <v>9</v>
      </c>
      <c r="I13" s="6">
        <v>95000</v>
      </c>
      <c r="J13" s="6" t="s">
        <v>86</v>
      </c>
      <c r="K13" s="6">
        <v>30</v>
      </c>
      <c r="L13" s="6" t="s">
        <v>12</v>
      </c>
      <c r="M13" s="6">
        <v>920</v>
      </c>
      <c r="N13" s="6" t="s">
        <v>69</v>
      </c>
      <c r="O13" s="6">
        <v>8927</v>
      </c>
      <c r="P13" s="7" t="str">
        <f t="shared" si="0"/>
        <v>pass</v>
      </c>
      <c r="Q13" s="7" t="str">
        <f t="shared" si="1"/>
        <v>High Salary</v>
      </c>
      <c r="R13" s="7" t="str">
        <f t="shared" si="2"/>
        <v>Eligible</v>
      </c>
      <c r="S13" s="7" t="str">
        <f t="shared" si="3"/>
        <v>Good</v>
      </c>
      <c r="T13" s="7" t="str">
        <f t="shared" si="4"/>
        <v>Bonus</v>
      </c>
      <c r="U13" s="7" t="str">
        <f t="shared" si="5"/>
        <v>Not Eligible</v>
      </c>
      <c r="V13" s="7" t="str">
        <f>IF(OR(E13="Yes", F13="Yes"),"Grace","No Grace")</f>
        <v>No Grace</v>
      </c>
      <c r="W13" s="7" t="str">
        <f t="shared" si="6"/>
        <v>NO DISCOUNT</v>
      </c>
      <c r="X13" s="7" t="str">
        <f t="shared" si="7"/>
        <v>SLECTED</v>
      </c>
    </row>
    <row r="14" spans="1:24" x14ac:dyDescent="0.3">
      <c r="A14" s="6">
        <f t="shared" si="8"/>
        <v>113</v>
      </c>
      <c r="B14" s="6">
        <v>38</v>
      </c>
      <c r="C14" s="6">
        <v>68</v>
      </c>
      <c r="D14" s="6" t="s">
        <v>92</v>
      </c>
      <c r="E14" s="6" t="s">
        <v>11</v>
      </c>
      <c r="F14" s="6" t="s">
        <v>11</v>
      </c>
      <c r="G14" s="6">
        <v>28000</v>
      </c>
      <c r="H14" s="6">
        <v>1</v>
      </c>
      <c r="I14" s="6">
        <v>27000</v>
      </c>
      <c r="J14" s="6" t="s">
        <v>83</v>
      </c>
      <c r="K14" s="6">
        <v>30</v>
      </c>
      <c r="L14" s="6" t="s">
        <v>11</v>
      </c>
      <c r="M14" s="6">
        <v>640</v>
      </c>
      <c r="N14" s="6" t="s">
        <v>68</v>
      </c>
      <c r="O14" s="6">
        <v>7424</v>
      </c>
      <c r="P14" s="7" t="str">
        <f t="shared" si="0"/>
        <v>fail</v>
      </c>
      <c r="Q14" s="7" t="str">
        <f t="shared" si="1"/>
        <v>Low Salary</v>
      </c>
      <c r="R14" s="7" t="str">
        <f t="shared" si="2"/>
        <v>Not Eligible</v>
      </c>
      <c r="S14" s="7" t="str">
        <f t="shared" si="3"/>
        <v>Bad</v>
      </c>
      <c r="T14" s="7" t="str">
        <f t="shared" si="4"/>
        <v>No Bonus</v>
      </c>
      <c r="U14" s="7" t="str">
        <f t="shared" si="5"/>
        <v>Eligible</v>
      </c>
      <c r="V14" s="7" t="str">
        <f>IF(OR(E14="Yes", F14="Yes"),"Grace","No Grace")</f>
        <v>Grace</v>
      </c>
      <c r="W14" s="7" t="str">
        <f t="shared" si="6"/>
        <v>DISCOUNT</v>
      </c>
      <c r="X14" s="7" t="str">
        <f t="shared" si="7"/>
        <v>SLECTED</v>
      </c>
    </row>
    <row r="15" spans="1:24" x14ac:dyDescent="0.3">
      <c r="A15" s="6">
        <f t="shared" si="8"/>
        <v>114</v>
      </c>
      <c r="B15" s="6">
        <v>58</v>
      </c>
      <c r="C15" s="6">
        <v>82</v>
      </c>
      <c r="D15" s="6" t="s">
        <v>89</v>
      </c>
      <c r="E15" s="6" t="s">
        <v>12</v>
      </c>
      <c r="F15" s="6" t="s">
        <v>12</v>
      </c>
      <c r="G15" s="6">
        <v>53000</v>
      </c>
      <c r="H15" s="6">
        <v>3</v>
      </c>
      <c r="I15" s="6">
        <v>46000</v>
      </c>
      <c r="J15" s="6" t="s">
        <v>87</v>
      </c>
      <c r="K15" s="6">
        <v>24</v>
      </c>
      <c r="L15" s="6" t="s">
        <v>12</v>
      </c>
      <c r="M15" s="6">
        <v>760</v>
      </c>
      <c r="N15" s="6" t="s">
        <v>69</v>
      </c>
      <c r="O15" s="6">
        <v>14601</v>
      </c>
      <c r="P15" s="7" t="str">
        <f t="shared" si="0"/>
        <v>pass</v>
      </c>
      <c r="Q15" s="7" t="str">
        <f t="shared" si="1"/>
        <v>Low Salary</v>
      </c>
      <c r="R15" s="7" t="str">
        <f t="shared" si="2"/>
        <v>Eligible</v>
      </c>
      <c r="S15" s="7" t="str">
        <f t="shared" si="3"/>
        <v>Good</v>
      </c>
      <c r="T15" s="7" t="str">
        <f t="shared" si="4"/>
        <v>Bonus</v>
      </c>
      <c r="U15" s="7" t="str">
        <f t="shared" si="5"/>
        <v>Not Eligible</v>
      </c>
      <c r="V15" s="7" t="str">
        <f>IF(OR(E15="Yes", F15="Yes"),"Grace","No Grace")</f>
        <v>No Grace</v>
      </c>
      <c r="W15" s="7" t="str">
        <f t="shared" si="6"/>
        <v>DISCOUNT</v>
      </c>
      <c r="X15" s="7" t="str">
        <f t="shared" si="7"/>
        <v>NOT SLECTED</v>
      </c>
    </row>
    <row r="16" spans="1:24" x14ac:dyDescent="0.3">
      <c r="A16" s="6">
        <f t="shared" si="8"/>
        <v>115</v>
      </c>
      <c r="B16" s="6">
        <v>73</v>
      </c>
      <c r="C16" s="6">
        <v>79</v>
      </c>
      <c r="D16" s="6" t="s">
        <v>96</v>
      </c>
      <c r="E16" s="6" t="s">
        <v>11</v>
      </c>
      <c r="F16" s="6" t="s">
        <v>12</v>
      </c>
      <c r="G16" s="6">
        <v>61000</v>
      </c>
      <c r="H16" s="6">
        <v>5</v>
      </c>
      <c r="I16" s="6">
        <v>58000</v>
      </c>
      <c r="J16" s="6" t="s">
        <v>85</v>
      </c>
      <c r="K16" s="6">
        <v>17</v>
      </c>
      <c r="L16" s="6" t="s">
        <v>11</v>
      </c>
      <c r="M16" s="6">
        <v>790</v>
      </c>
      <c r="N16" s="6" t="s">
        <v>68</v>
      </c>
      <c r="O16" s="6">
        <v>10562</v>
      </c>
      <c r="P16" s="7" t="str">
        <f t="shared" si="0"/>
        <v>pass</v>
      </c>
      <c r="Q16" s="7" t="str">
        <f t="shared" si="1"/>
        <v>High Salary</v>
      </c>
      <c r="R16" s="7" t="str">
        <f t="shared" si="2"/>
        <v>Eligible</v>
      </c>
      <c r="S16" s="7" t="str">
        <f t="shared" si="3"/>
        <v>Good</v>
      </c>
      <c r="T16" s="7" t="str">
        <f t="shared" si="4"/>
        <v>Bonus</v>
      </c>
      <c r="U16" s="7" t="str">
        <f t="shared" si="5"/>
        <v>Not Eligible</v>
      </c>
      <c r="V16" s="7" t="str">
        <f>IF(OR(E16="Yes", F16="Yes"),"Grace","No Grace")</f>
        <v>Grace</v>
      </c>
      <c r="W16" s="7" t="str">
        <f t="shared" si="6"/>
        <v>DISCOUNT</v>
      </c>
      <c r="X16" s="7" t="str">
        <f t="shared" si="7"/>
        <v>SLECTED</v>
      </c>
    </row>
    <row r="17" spans="1:24" x14ac:dyDescent="0.3">
      <c r="A17" s="6">
        <f t="shared" si="8"/>
        <v>116</v>
      </c>
      <c r="B17" s="6">
        <v>99</v>
      </c>
      <c r="C17" s="6">
        <v>99</v>
      </c>
      <c r="D17" s="6" t="s">
        <v>93</v>
      </c>
      <c r="E17" s="6" t="s">
        <v>11</v>
      </c>
      <c r="F17" s="6" t="s">
        <v>11</v>
      </c>
      <c r="G17" s="6">
        <v>120000</v>
      </c>
      <c r="H17" s="6">
        <v>10</v>
      </c>
      <c r="I17" s="6">
        <v>110000</v>
      </c>
      <c r="J17" s="6" t="s">
        <v>82</v>
      </c>
      <c r="K17" s="6">
        <v>24</v>
      </c>
      <c r="L17" s="6" t="s">
        <v>11</v>
      </c>
      <c r="M17" s="6">
        <v>950</v>
      </c>
      <c r="N17" s="6" t="s">
        <v>68</v>
      </c>
      <c r="O17" s="6">
        <v>8666</v>
      </c>
      <c r="P17" s="7" t="str">
        <f t="shared" si="0"/>
        <v>pass</v>
      </c>
      <c r="Q17" s="7" t="str">
        <f t="shared" si="1"/>
        <v>High Salary</v>
      </c>
      <c r="R17" s="7" t="str">
        <f t="shared" si="2"/>
        <v>Eligible</v>
      </c>
      <c r="S17" s="7" t="str">
        <f t="shared" si="3"/>
        <v>Good</v>
      </c>
      <c r="T17" s="7" t="str">
        <f t="shared" si="4"/>
        <v>Bonus</v>
      </c>
      <c r="U17" s="7" t="str">
        <f t="shared" si="5"/>
        <v>Eligible</v>
      </c>
      <c r="V17" s="7" t="str">
        <f>IF(OR(E17="Yes", F17="Yes"),"Grace","No Grace")</f>
        <v>Grace</v>
      </c>
      <c r="W17" s="7" t="str">
        <f t="shared" si="6"/>
        <v>DISCOUNT</v>
      </c>
      <c r="X17" s="7" t="str">
        <f t="shared" si="7"/>
        <v>SLECTED</v>
      </c>
    </row>
    <row r="18" spans="1:24" x14ac:dyDescent="0.3">
      <c r="A18" s="6">
        <f t="shared" si="8"/>
        <v>117</v>
      </c>
      <c r="B18" s="6">
        <v>42</v>
      </c>
      <c r="C18" s="6">
        <v>74</v>
      </c>
      <c r="D18" s="6" t="s">
        <v>97</v>
      </c>
      <c r="E18" s="6" t="s">
        <v>12</v>
      </c>
      <c r="F18" s="6" t="s">
        <v>11</v>
      </c>
      <c r="G18" s="6">
        <v>36000</v>
      </c>
      <c r="H18" s="6">
        <v>2</v>
      </c>
      <c r="I18" s="6">
        <v>33000</v>
      </c>
      <c r="J18" s="6" t="s">
        <v>83</v>
      </c>
      <c r="K18" s="6">
        <v>30</v>
      </c>
      <c r="L18" s="6" t="s">
        <v>12</v>
      </c>
      <c r="M18" s="6">
        <v>680</v>
      </c>
      <c r="N18" s="6" t="s">
        <v>69</v>
      </c>
      <c r="O18" s="6">
        <v>7992</v>
      </c>
      <c r="P18" s="7" t="str">
        <f t="shared" si="0"/>
        <v>pass</v>
      </c>
      <c r="Q18" s="7" t="str">
        <f t="shared" si="1"/>
        <v>Low Salary</v>
      </c>
      <c r="R18" s="7" t="str">
        <f t="shared" si="2"/>
        <v>Not Eligible</v>
      </c>
      <c r="S18" s="7" t="str">
        <f t="shared" si="3"/>
        <v>Bad</v>
      </c>
      <c r="T18" s="7" t="str">
        <f t="shared" si="4"/>
        <v>No Bonus</v>
      </c>
      <c r="U18" s="7" t="str">
        <f t="shared" si="5"/>
        <v>Not Eligible</v>
      </c>
      <c r="V18" s="7" t="str">
        <f>IF(OR(E18="Yes", F18="Yes"),"Grace","No Grace")</f>
        <v>Grace</v>
      </c>
      <c r="W18" s="7" t="str">
        <f t="shared" si="6"/>
        <v>NO DISCOUNT</v>
      </c>
      <c r="X18" s="7" t="str">
        <f t="shared" si="7"/>
        <v>NOT SLECTED</v>
      </c>
    </row>
    <row r="19" spans="1:24" x14ac:dyDescent="0.3">
      <c r="A19" s="6">
        <f t="shared" si="8"/>
        <v>118</v>
      </c>
      <c r="B19" s="6">
        <v>67</v>
      </c>
      <c r="C19" s="6">
        <v>87</v>
      </c>
      <c r="D19" s="6" t="s">
        <v>89</v>
      </c>
      <c r="E19" s="6" t="s">
        <v>11</v>
      </c>
      <c r="F19" s="6" t="s">
        <v>12</v>
      </c>
      <c r="G19" s="6">
        <v>59000</v>
      </c>
      <c r="H19" s="6">
        <v>4</v>
      </c>
      <c r="I19" s="6">
        <v>54000</v>
      </c>
      <c r="J19" s="6" t="s">
        <v>82</v>
      </c>
      <c r="K19" s="6">
        <v>15</v>
      </c>
      <c r="L19" s="6" t="s">
        <v>11</v>
      </c>
      <c r="M19" s="6">
        <v>770</v>
      </c>
      <c r="N19" s="6" t="s">
        <v>68</v>
      </c>
      <c r="O19" s="6">
        <v>18165</v>
      </c>
      <c r="P19" s="7" t="str">
        <f t="shared" si="0"/>
        <v>pass</v>
      </c>
      <c r="Q19" s="7" t="str">
        <f t="shared" si="1"/>
        <v>High Salary</v>
      </c>
      <c r="R19" s="7" t="str">
        <f t="shared" si="2"/>
        <v>Eligible</v>
      </c>
      <c r="S19" s="7" t="str">
        <f t="shared" si="3"/>
        <v>Good</v>
      </c>
      <c r="T19" s="7" t="str">
        <f t="shared" si="4"/>
        <v>Bonus</v>
      </c>
      <c r="U19" s="7" t="str">
        <f t="shared" si="5"/>
        <v>Not Eligible</v>
      </c>
      <c r="V19" s="7" t="str">
        <f>IF(OR(E19="Yes", F19="Yes"),"Grace","No Grace")</f>
        <v>Grace</v>
      </c>
      <c r="W19" s="7" t="str">
        <f t="shared" si="6"/>
        <v>DISCOUNT</v>
      </c>
      <c r="X19" s="7" t="str">
        <f t="shared" si="7"/>
        <v>NOT SLECTED</v>
      </c>
    </row>
    <row r="20" spans="1:24" x14ac:dyDescent="0.3">
      <c r="A20" s="6">
        <f t="shared" si="8"/>
        <v>119</v>
      </c>
      <c r="B20" s="6">
        <v>81</v>
      </c>
      <c r="C20" s="6">
        <v>91</v>
      </c>
      <c r="D20" s="6" t="s">
        <v>98</v>
      </c>
      <c r="E20" s="6" t="s">
        <v>12</v>
      </c>
      <c r="F20" s="6" t="s">
        <v>11</v>
      </c>
      <c r="G20" s="6">
        <v>83000</v>
      </c>
      <c r="H20" s="6">
        <v>6</v>
      </c>
      <c r="I20" s="6">
        <v>85000</v>
      </c>
      <c r="J20" s="6" t="s">
        <v>85</v>
      </c>
      <c r="K20" s="6">
        <v>25</v>
      </c>
      <c r="L20" s="6" t="s">
        <v>12</v>
      </c>
      <c r="M20" s="6">
        <v>860</v>
      </c>
      <c r="N20" s="6" t="s">
        <v>69</v>
      </c>
      <c r="O20" s="6">
        <v>15300</v>
      </c>
      <c r="P20" s="7" t="str">
        <f t="shared" si="0"/>
        <v>pass</v>
      </c>
      <c r="Q20" s="7" t="str">
        <f t="shared" si="1"/>
        <v>High Salary</v>
      </c>
      <c r="R20" s="7" t="str">
        <f t="shared" si="2"/>
        <v>Eligible</v>
      </c>
      <c r="S20" s="7" t="str">
        <f t="shared" si="3"/>
        <v>Good</v>
      </c>
      <c r="T20" s="7" t="str">
        <f t="shared" si="4"/>
        <v>Bonus</v>
      </c>
      <c r="U20" s="7" t="str">
        <f t="shared" si="5"/>
        <v>Not Eligible</v>
      </c>
      <c r="V20" s="7" t="str">
        <f>IF(OR(E20="Yes", F20="Yes"),"Grace","No Grace")</f>
        <v>Grace</v>
      </c>
      <c r="W20" s="7" t="str">
        <f t="shared" si="6"/>
        <v>DISCOUNT</v>
      </c>
      <c r="X20" s="7" t="str">
        <f t="shared" si="7"/>
        <v>SLECTED</v>
      </c>
    </row>
    <row r="21" spans="1:24" x14ac:dyDescent="0.3">
      <c r="A21" s="6">
        <f t="shared" si="8"/>
        <v>120</v>
      </c>
      <c r="B21" s="6">
        <v>29</v>
      </c>
      <c r="C21" s="6">
        <v>50</v>
      </c>
      <c r="D21" s="6" t="s">
        <v>90</v>
      </c>
      <c r="E21" s="6" t="s">
        <v>12</v>
      </c>
      <c r="F21" s="6" t="s">
        <v>12</v>
      </c>
      <c r="G21" s="6">
        <v>15000</v>
      </c>
      <c r="H21" s="6">
        <v>0</v>
      </c>
      <c r="I21" s="6">
        <v>18000</v>
      </c>
      <c r="J21" s="6" t="s">
        <v>83</v>
      </c>
      <c r="K21" s="6">
        <v>23</v>
      </c>
      <c r="L21" s="6" t="s">
        <v>12</v>
      </c>
      <c r="M21" s="6">
        <v>550</v>
      </c>
      <c r="N21" s="6" t="s">
        <v>69</v>
      </c>
      <c r="O21" s="6">
        <v>9282</v>
      </c>
      <c r="P21" s="7" t="str">
        <f t="shared" si="0"/>
        <v>fail</v>
      </c>
      <c r="Q21" s="7" t="str">
        <f t="shared" si="1"/>
        <v>Low Salary</v>
      </c>
      <c r="R21" s="7" t="str">
        <f t="shared" si="2"/>
        <v>Not Eligible</v>
      </c>
      <c r="S21" s="7" t="str">
        <f t="shared" si="3"/>
        <v>Bad</v>
      </c>
      <c r="T21" s="7" t="str">
        <f t="shared" si="4"/>
        <v>No Bonus</v>
      </c>
      <c r="U21" s="7" t="str">
        <f t="shared" si="5"/>
        <v>Not Eligible</v>
      </c>
      <c r="V21" s="7" t="str">
        <f>IF(OR(E21="Yes", F21="Yes"),"Grace","No Grace")</f>
        <v>No Grace</v>
      </c>
      <c r="W21" s="7" t="str">
        <f t="shared" si="6"/>
        <v>NO DISCOUNT</v>
      </c>
      <c r="X21" s="7" t="str">
        <f t="shared" si="7"/>
        <v>NOT SLECTED</v>
      </c>
    </row>
    <row r="27" spans="1:24" x14ac:dyDescent="0.3">
      <c r="C27" s="8" t="s">
        <v>39</v>
      </c>
      <c r="D27" s="8"/>
    </row>
    <row r="28" spans="1:24" x14ac:dyDescent="0.3">
      <c r="C28" s="10" t="s">
        <v>40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24" x14ac:dyDescent="0.3">
      <c r="C29" s="8" t="s">
        <v>41</v>
      </c>
      <c r="D29" s="8"/>
    </row>
    <row r="30" spans="1:24" x14ac:dyDescent="0.3">
      <c r="C30" s="10" t="s">
        <v>42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24" x14ac:dyDescent="0.3">
      <c r="C31" s="8" t="s">
        <v>43</v>
      </c>
      <c r="D31" s="8"/>
    </row>
    <row r="32" spans="1:24" x14ac:dyDescent="0.3">
      <c r="C32" s="10" t="s">
        <v>44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2:19" x14ac:dyDescent="0.3">
      <c r="B33" s="9" t="s">
        <v>45</v>
      </c>
      <c r="C33" s="9"/>
      <c r="D33" s="9"/>
      <c r="E33" s="9"/>
    </row>
    <row r="34" spans="2:19" x14ac:dyDescent="0.3">
      <c r="C34" s="8" t="s">
        <v>46</v>
      </c>
      <c r="D34" s="8"/>
    </row>
    <row r="35" spans="2:19" ht="15.6" customHeight="1" x14ac:dyDescent="0.3">
      <c r="C35" s="2" t="s">
        <v>50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9" x14ac:dyDescent="0.3">
      <c r="C36" s="8" t="s">
        <v>52</v>
      </c>
      <c r="D36" s="8"/>
    </row>
    <row r="37" spans="2:19" x14ac:dyDescent="0.3">
      <c r="C37" s="10" t="s">
        <v>53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2:19" x14ac:dyDescent="0.3">
      <c r="C38" s="8" t="s">
        <v>56</v>
      </c>
      <c r="D38" s="8"/>
    </row>
    <row r="39" spans="2:19" x14ac:dyDescent="0.3">
      <c r="C39" s="10" t="s">
        <v>55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2:19" x14ac:dyDescent="0.3">
      <c r="C40" s="5" t="s">
        <v>60</v>
      </c>
    </row>
    <row r="41" spans="2:19" x14ac:dyDescent="0.3">
      <c r="C41" s="8" t="s">
        <v>61</v>
      </c>
      <c r="D41" s="8"/>
    </row>
    <row r="42" spans="2:19" x14ac:dyDescent="0.3">
      <c r="C42" s="10" t="s">
        <v>62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2:19" x14ac:dyDescent="0.3">
      <c r="C43" s="8" t="s">
        <v>65</v>
      </c>
      <c r="D43" s="8"/>
    </row>
    <row r="44" spans="2:19" x14ac:dyDescent="0.3">
      <c r="C44" s="10" t="s">
        <v>66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2:19" x14ac:dyDescent="0.3">
      <c r="C45" s="8" t="s">
        <v>72</v>
      </c>
      <c r="D45" s="8"/>
    </row>
    <row r="46" spans="2:19" x14ac:dyDescent="0.3">
      <c r="C46" s="10" t="s">
        <v>71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2:19" x14ac:dyDescent="0.3">
      <c r="C47" s="8" t="s">
        <v>76</v>
      </c>
      <c r="D47" s="8"/>
    </row>
    <row r="48" spans="2:19" x14ac:dyDescent="0.3">
      <c r="C48" s="10" t="s">
        <v>75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3:15" x14ac:dyDescent="0.3">
      <c r="C49" s="8" t="s">
        <v>77</v>
      </c>
      <c r="D49" s="8"/>
    </row>
    <row r="50" spans="3:15" x14ac:dyDescent="0.3">
      <c r="C50" s="10" t="s">
        <v>78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3:15" x14ac:dyDescent="0.3">
      <c r="C51" s="8" t="s">
        <v>80</v>
      </c>
      <c r="D51" s="8"/>
    </row>
    <row r="52" spans="3:15" x14ac:dyDescent="0.3">
      <c r="C52" s="10" t="s">
        <v>79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3:15" x14ac:dyDescent="0.3">
      <c r="C53" s="8" t="s">
        <v>80</v>
      </c>
      <c r="D53" s="8"/>
    </row>
    <row r="54" spans="3:15" x14ac:dyDescent="0.3">
      <c r="C54" s="10" t="s">
        <v>99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3:15" x14ac:dyDescent="0.3">
      <c r="C55" s="12" t="s">
        <v>101</v>
      </c>
      <c r="D55" s="12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spans="3:15" x14ac:dyDescent="0.3">
      <c r="C56" s="10" t="s">
        <v>100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3:15" x14ac:dyDescent="0.3">
      <c r="C57" s="13" t="s">
        <v>102</v>
      </c>
      <c r="D57" s="13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 spans="3:15" ht="13.8" customHeight="1" x14ac:dyDescent="0.3">
      <c r="C58" s="2" t="s">
        <v>104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3:15" x14ac:dyDescent="0.3">
      <c r="C59" s="13" t="s">
        <v>105</v>
      </c>
      <c r="D59" s="13"/>
    </row>
    <row r="60" spans="3:15" x14ac:dyDescent="0.3">
      <c r="C60" s="9" t="s">
        <v>103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</sheetData>
  <mergeCells count="19">
    <mergeCell ref="C60:O60"/>
    <mergeCell ref="C58:O58"/>
    <mergeCell ref="C59:D59"/>
    <mergeCell ref="C52:O52"/>
    <mergeCell ref="C54:N54"/>
    <mergeCell ref="C56:O56"/>
    <mergeCell ref="C57:D57"/>
    <mergeCell ref="C44:Q44"/>
    <mergeCell ref="C46:O46"/>
    <mergeCell ref="C48:O48"/>
    <mergeCell ref="C50:O50"/>
    <mergeCell ref="C35:Q35"/>
    <mergeCell ref="C37:S37"/>
    <mergeCell ref="C39:R39"/>
    <mergeCell ref="C42:Q42"/>
    <mergeCell ref="C28:M28"/>
    <mergeCell ref="C32:Q32"/>
    <mergeCell ref="C30:Q30"/>
    <mergeCell ref="B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Excel Practice Questions</vt:lpstr>
      <vt:lpstr>PRACTICE 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washist singh</cp:lastModifiedBy>
  <dcterms:created xsi:type="dcterms:W3CDTF">2026-05-25T09:29:44Z</dcterms:created>
  <dcterms:modified xsi:type="dcterms:W3CDTF">2026-05-26T18:41:18Z</dcterms:modified>
</cp:coreProperties>
</file>